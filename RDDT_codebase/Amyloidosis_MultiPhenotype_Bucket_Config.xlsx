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showInkAnnotation="0" autoCompressPictures="0"/>
  <xr:revisionPtr revIDLastSave="42" documentId="11_BEC07F7679A84088EF12378E87D4E1EE45C32955" xr6:coauthVersionLast="47" xr6:coauthVersionMax="47" xr10:uidLastSave="{99B0A26F-F3A7-4F34-B1FD-3BC67ED45CD6}"/>
  <bookViews>
    <workbookView xWindow="0" yWindow="0" windowWidth="0" windowHeight="0" activeTab="1" xr2:uid="{00000000-000D-0000-FFFF-FFFF00000000}"/>
  </bookViews>
  <sheets>
    <sheet name="README" sheetId="1" r:id="rId1"/>
    <sheet name="Signal Catalog" sheetId="2" r:id="rId2"/>
    <sheet name="Phenotype Overlays" sheetId="3" r:id="rId3"/>
    <sheet name="Combination Rules" sheetId="4" r:id="rId4"/>
    <sheet name="Composite Rules" sheetId="5" r:id="rId5"/>
    <sheet name="Temporal Rules" sheetId="6" r:id="rId6"/>
    <sheet name="Guardrails" sheetId="7" r:id="rId7"/>
    <sheet name="Coverage Audit" sheetId="8" r:id="rId8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8" l="1"/>
  <c r="E14" i="8"/>
  <c r="E13" i="8"/>
  <c r="E12" i="8"/>
  <c r="E11" i="8"/>
  <c r="B11" i="8"/>
  <c r="E10" i="8"/>
  <c r="D7" i="8"/>
  <c r="C7" i="8"/>
  <c r="E7" i="8" s="1"/>
  <c r="D6" i="8"/>
  <c r="C6" i="8"/>
  <c r="E6" i="8" s="1"/>
  <c r="D5" i="8"/>
  <c r="C5" i="8"/>
  <c r="E5" i="8" s="1"/>
  <c r="D4" i="8"/>
  <c r="C4" i="8"/>
  <c r="E4" i="8" s="1"/>
  <c r="AH134" i="2"/>
  <c r="AH133" i="2"/>
  <c r="AH132" i="2"/>
  <c r="AH131" i="2"/>
  <c r="AH130" i="2"/>
  <c r="AH129" i="2"/>
  <c r="AH128" i="2"/>
  <c r="AH127" i="2"/>
  <c r="AH126" i="2"/>
  <c r="AH125" i="2"/>
  <c r="AH124" i="2"/>
  <c r="AH123" i="2"/>
  <c r="AH122" i="2"/>
  <c r="AH121" i="2"/>
  <c r="AH120" i="2"/>
  <c r="AH119" i="2"/>
  <c r="AH118" i="2"/>
  <c r="AH117" i="2"/>
  <c r="AH116" i="2"/>
  <c r="AH115" i="2"/>
  <c r="AH114" i="2"/>
  <c r="AH113" i="2"/>
  <c r="AH112" i="2"/>
  <c r="AH111" i="2"/>
  <c r="AH110" i="2"/>
  <c r="AH109" i="2"/>
  <c r="AH108" i="2"/>
  <c r="AH107" i="2"/>
  <c r="AH106" i="2"/>
  <c r="AH105" i="2"/>
  <c r="AH104" i="2"/>
  <c r="AH103" i="2"/>
  <c r="AH102" i="2"/>
  <c r="AH101" i="2"/>
  <c r="AH100" i="2"/>
  <c r="AH99" i="2"/>
  <c r="AH98" i="2"/>
  <c r="AH97" i="2"/>
  <c r="AH96" i="2"/>
  <c r="AH95" i="2"/>
  <c r="AH94" i="2"/>
  <c r="AH93" i="2"/>
  <c r="AH92" i="2"/>
  <c r="AH91" i="2"/>
  <c r="AH90" i="2"/>
  <c r="AH89" i="2"/>
  <c r="AH88" i="2"/>
  <c r="AH87" i="2"/>
  <c r="AH86" i="2"/>
  <c r="AH85" i="2"/>
  <c r="AH84" i="2"/>
  <c r="AH83" i="2"/>
  <c r="AH82" i="2"/>
  <c r="AH81" i="2"/>
  <c r="AH80" i="2"/>
  <c r="AH79" i="2"/>
  <c r="AH78" i="2"/>
  <c r="AH77" i="2"/>
  <c r="AH76" i="2"/>
  <c r="AH75" i="2"/>
  <c r="AH74" i="2"/>
  <c r="AH73" i="2"/>
  <c r="AH72" i="2"/>
  <c r="AH71" i="2"/>
  <c r="AH70" i="2"/>
  <c r="AH69" i="2"/>
  <c r="AH68" i="2"/>
  <c r="AH67" i="2"/>
  <c r="AH66" i="2"/>
  <c r="AH65" i="2"/>
  <c r="AH64" i="2"/>
  <c r="AH63" i="2"/>
  <c r="AH62" i="2"/>
  <c r="AH61" i="2"/>
  <c r="AH60" i="2"/>
  <c r="AH59" i="2"/>
  <c r="AH58" i="2"/>
  <c r="AH57" i="2"/>
  <c r="AH56" i="2"/>
  <c r="AH55" i="2"/>
  <c r="AH54" i="2"/>
  <c r="AH53" i="2"/>
  <c r="AH52" i="2"/>
  <c r="AH51" i="2"/>
  <c r="AH50" i="2"/>
  <c r="AH49" i="2"/>
  <c r="AH48" i="2"/>
  <c r="AH47" i="2"/>
  <c r="AH46" i="2"/>
  <c r="AH45" i="2"/>
  <c r="AH44" i="2"/>
  <c r="AH43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H4" i="2"/>
  <c r="AH3" i="2"/>
  <c r="AH2" i="2"/>
  <c r="B13" i="8" l="1"/>
  <c r="B12" i="8"/>
</calcChain>
</file>

<file path=xl/sharedStrings.xml><?xml version="1.0" encoding="utf-8"?>
<sst xmlns="http://schemas.openxmlformats.org/spreadsheetml/2006/main" count="7559" uniqueCount="2000">
  <si>
    <t>Amyloidosis Multi-Phenotype Bucket-Combination Config Specification</t>
  </si>
  <si>
    <t>Purpose</t>
  </si>
  <si>
    <t>Convert all 133 rows from the four pre-test phenotype CSVs into an implementation-ready, non-additive reasoning config.</t>
  </si>
  <si>
    <t>Core logic</t>
  </si>
  <si>
    <t>Keep best-tier-per-independent-bucket logic. Tier 1/2 may form approved combinations; Tier 3/4 are context. Never add tiers into a numeric disease score.</t>
  </si>
  <si>
    <t>Key change</t>
  </si>
  <si>
    <t>Use phenotype-specific combination configs instead of one universal '2 of ortho/cardio/neuro' ATTR rule.</t>
  </si>
  <si>
    <t>Source specialty vs reasoning bucket</t>
  </si>
  <si>
    <t>Source specialty records where evidence came from. Reasoning bucket records the independent biological/clinical axis used by the combination engine.</t>
  </si>
  <si>
    <t>Deduplication</t>
  </si>
  <si>
    <t>Canonical_Atom_or_Rule_ID lets repeated concepts across ATTRwt/ATTRv/AL/AA point to one extraction rule rather than duplicate EHR extraction.</t>
  </si>
  <si>
    <t>Composite rows</t>
  </si>
  <si>
    <t>Composite/temporal source rows are rules or derived features. They do NOT create an extra independent bucket.</t>
  </si>
  <si>
    <t>Guardrails</t>
  </si>
  <si>
    <t>Counter-evidence / differential rows are explicit routes or modifiers, never weak positive Tier 4 evidence.</t>
  </si>
  <si>
    <t>General amyloidosis</t>
  </si>
  <si>
    <t>Uses independent bucket combinations before subtype routing. A patient may simultaneously pass ATTR and an AL safety route.</t>
  </si>
  <si>
    <t>Clinical status</t>
  </si>
  <si>
    <t>This workbook is a research/EHR feature-design specification derived from the supplied tables, not a validated diagnostic score or clinical decision rule.</t>
  </si>
  <si>
    <t>Sheet</t>
  </si>
  <si>
    <t>What it contains</t>
  </si>
  <si>
    <t>Use in code</t>
  </si>
  <si>
    <t>Signal Catalog</t>
  </si>
  <si>
    <t>One row for every source CSV row (133 total), with specialty, reasoning bucket, canonical atom/rule, proposed source tier and disposition.</t>
  </si>
  <si>
    <t>Phenotype Overlays</t>
  </si>
  <si>
    <t>Normalized config rows. Every source row has a source-phenotype overlay; positive rows also get GENERAL_AMYLOID and/or ATTR_COMMON overlays.</t>
  </si>
  <si>
    <t>Combination Rules</t>
  </si>
  <si>
    <t>Approved non-additive bucket combinations for GENERAL_AMYLOID, ATTR_COMMON, ATTRwt, ATTRv, AL and AA.</t>
  </si>
  <si>
    <t>Composite Rules</t>
  </si>
  <si>
    <t>How multi-signal source rows are derived without double-counting.</t>
  </si>
  <si>
    <t>Temporal Rules</t>
  </si>
  <si>
    <t>Longitudinal logic such as orthopedic prodrome before cardiac disease and persistent renal/inflammatory trajectories.</t>
  </si>
  <si>
    <t>Differential routes, alternative-cause flags and do-not-use rows.</t>
  </si>
  <si>
    <t>Coverage Audit</t>
  </si>
  <si>
    <t>Formula-driven proof that all rows from all four source CSVs are represented.</t>
  </si>
  <si>
    <t>Source_Phenotype</t>
  </si>
  <si>
    <t>Sign_ID</t>
  </si>
  <si>
    <t>Canonical_Atom_or_Rule_ID</t>
  </si>
  <si>
    <t>Config_Object_Type</t>
  </si>
  <si>
    <t>Config_Action</t>
  </si>
  <si>
    <t>Sign_or_Phenotype_Feature</t>
  </si>
  <si>
    <t>Source_Domain</t>
  </si>
  <si>
    <t>Source_Specialty</t>
  </si>
  <si>
    <t>Reasoning_Bucket</t>
  </si>
  <si>
    <t>Source_Phenotype_Role</t>
  </si>
  <si>
    <t>Source_Direction</t>
  </si>
  <si>
    <t>Proposed_Source_Tier</t>
  </si>
  <si>
    <t>Source_Gate_Eligible</t>
  </si>
  <si>
    <t>General_Amyloid_Tier</t>
  </si>
  <si>
    <t>General_Amyloid_Role</t>
  </si>
  <si>
    <t>ATTR_Common_Tier</t>
  </si>
  <si>
    <t>Differential_Route_or_Guardrail</t>
  </si>
  <si>
    <t>Typical_Timing_vs_Diagnosis</t>
  </si>
  <si>
    <t>Combination_from_Source</t>
  </si>
  <si>
    <t>Threshold_or_Criterion_Status</t>
  </si>
  <si>
    <t>PreTest_Usability</t>
  </si>
  <si>
    <t>EHR_Detectability</t>
  </si>
  <si>
    <t>Likely_EHR_Location</t>
  </si>
  <si>
    <t>Structured_Fields_or_NLP_Terms</t>
  </si>
  <si>
    <t>Recommended_Model_Use_Source</t>
  </si>
  <si>
    <t>Key_Overlap_Mimic_Guardrail</t>
  </si>
  <si>
    <t>Evidence_Confidence</t>
  </si>
  <si>
    <t>Amyloid_Suspicion_Importance_Source</t>
  </si>
  <si>
    <t>Subtype_Distinguisher_Importance_Source</t>
  </si>
  <si>
    <t>Original_Source_Priority_Tier</t>
  </si>
  <si>
    <t>Primary_Source</t>
  </si>
  <si>
    <t>Supporting_Source</t>
  </si>
  <si>
    <t>Config_Design_Note</t>
  </si>
  <si>
    <t>Coverage_Status</t>
  </si>
  <si>
    <t>ATTRwt</t>
  </si>
  <si>
    <t>WT01</t>
  </si>
  <si>
    <t>RULE_ATTRWT_ORTHO_BEFORE_CARDIO</t>
  </si>
  <si>
    <t>TEMPORAL_RULE</t>
  </si>
  <si>
    <t>EVALUATE_TEMPORAL_RULE</t>
  </si>
  <si>
    <t>Orthopedic/tenosynovial prodrome followed years later by otherwise unexplained cardiac disease</t>
  </si>
  <si>
    <t>Multisystem / temporal</t>
  </si>
  <si>
    <t>MULTISPECIALTY</t>
  </si>
  <si>
    <t>TEMPORAL_COMPOSITE</t>
  </si>
  <si>
    <t>Core composite discriminator</t>
  </si>
  <si>
    <t>Strongly supports ATTRwt</t>
  </si>
  <si>
    <t>No</t>
  </si>
  <si>
    <t>Musculoskeletal events commonly 5–15 years before cardiac recognition</t>
  </si>
  <si>
    <t>?2 orthopedic/soft-tissue clues ? years later new HFpEF/LVH/AF/conduction disease</t>
  </si>
  <si>
    <t>No validated universal count or time-window rule; 5–15 years is evidence-backed for CTS and broadly consistent with the musculoskeletal prodrome.</t>
  </si>
  <si>
    <t>Yes</t>
  </si>
  <si>
    <t>High</t>
  </si>
  <si>
    <t>Derived from procedures + diagnoses + cardiology</t>
  </si>
  <si>
    <t>bilateral CTS/CTR; lumbar stenosis/decompression; biceps rupture; arthroplasty; trigger finger; HFpEF; LVH; AF</t>
  </si>
  <si>
    <t>Highest-priority composite feature. Model chronology and clustering rather than simple feature count.</t>
  </si>
  <si>
    <t>ATTRv can also have CTS; isolated degenerative disease is common; AL can cause cardiac amyloid but lacks this characteristic orthopedic enrichment.</t>
  </si>
  <si>
    <t>5</t>
  </si>
  <si>
    <t>Tier 1 - highest</t>
  </si>
  <si>
    <t>https://pubmed.ncbi.nlm.nih.gov/36049804/</t>
  </si>
  <si>
    <t>https://pmc.ncbi.nlm.nih.gov/articles/PMC9775219/</t>
  </si>
  <si>
    <t>Composite/temporal rule: do not count as an extra independent bucket.</t>
  </si>
  <si>
    <t>WT04</t>
  </si>
  <si>
    <t>ATOM_WT04</t>
  </si>
  <si>
    <t>DERIVED_BUCKET_FEATURE</t>
  </si>
  <si>
    <t>DERIVE_WITHIN_BUCKET</t>
  </si>
  <si>
    <t>Multiple orthopedic red flags across different tissues/procedures</t>
  </si>
  <si>
    <t>Musculoskeletal</t>
  </si>
  <si>
    <t>ORTHOPEDICS</t>
  </si>
  <si>
    <t>ORTHO</t>
  </si>
  <si>
    <t>Composite discriminator / cluster</t>
  </si>
  <si>
    <t>Tier 1</t>
  </si>
  <si>
    <t>Tier 2</t>
  </si>
  <si>
    <t>ORGAN_OR_PHENOTYPE_EVIDENCE</t>
  </si>
  <si>
    <t>Usually years before cardiac diagnosis</t>
  </si>
  <si>
    <t>Any 2+ of bilateral/recurrent CTS, LSS/decompression, biceps rupture, arthroplasty, trigger finger, shoulder disease + later cardiac clue</t>
  </si>
  <si>
    <t>No validated minimum feature count; 'multiple' is a research-synthesis construct for prioritization.</t>
  </si>
  <si>
    <t>Procedures + diagnosis history</t>
  </si>
  <si>
    <t>multi-joint/tendon procedure history; repeated orthopedic diagnoses</t>
  </si>
  <si>
    <t>Core EHR cluster; give more weight to unusual/bilateral/recurrent events and temporal sequence.</t>
  </si>
  <si>
    <t>Degenerative disease burden also rises with age; subtype cannot be established from orthopedics alone.</t>
  </si>
  <si>
    <t>4</t>
  </si>
  <si>
    <t>https://pubmed.ncbi.nlm.nih.gov/41906617/</t>
  </si>
  <si>
    <t>Detect once using canonical ID; phenotype overlays decide tier/role.</t>
  </si>
  <si>
    <t>WT02</t>
  </si>
  <si>
    <t>ORTHO_CTS_BILAT_RECURRENT</t>
  </si>
  <si>
    <t>ATOM</t>
  </si>
  <si>
    <t>DETECT_ONCE</t>
  </si>
  <si>
    <t>Bilateral and/or recurrent carpal tunnel syndrome, especially recurrence after prior carpal tunnel release</t>
  </si>
  <si>
    <t>Musculoskeletal / tenosynovial</t>
  </si>
  <si>
    <t>Early extracardiac red flag</t>
  </si>
  <si>
    <t>Typically years before cardiac diagnosis</t>
  </si>
  <si>
    <t>Bilateral/recurrent CTR + later HFpEF/LVH/AF/conduction disease or another orthopedic red flag</t>
  </si>
  <si>
    <t>Do not use the 21.2% subgroup prevalence as a general PPV; it was a selected subgroup in one screening cohort.</t>
  </si>
  <si>
    <t>Problem list; hand surgery; procedure history</t>
  </si>
  <si>
    <t>bilateral carpal tunnel; right+left CTR; recurrent median neuropathy; repeat carpal tunnel release</t>
  </si>
  <si>
    <t>Tier-defining extracardiac feature; explicitly distinguish bilateral/recurrent from unilateral CTS.</t>
  </si>
  <si>
    <t>CTS is common and can occur in ATTRv; unilateral CTS has poor specificity.</t>
  </si>
  <si>
    <t>https://pubmed.ncbi.nlm.nih.gov/37555238/</t>
  </si>
  <si>
    <t>WT03</t>
  </si>
  <si>
    <t>ATOM_WT03</t>
  </si>
  <si>
    <t>Spontaneous or trivial-trauma distal biceps tendon rupture / 'Popeye sign'</t>
  </si>
  <si>
    <t>Musculoskeletal / tendon</t>
  </si>
  <si>
    <t>Median ~5 years before HF diagnosis among patients who recalled onset</t>
  </si>
  <si>
    <t>Biceps rupture + bilateral CTS or spinal stenosis + unexplained HFpEF/LVH</t>
  </si>
  <si>
    <t>No universal PPV. The published 66% PPV is prevalence-dependent and should only be treated as a scenario estimate.</t>
  </si>
  <si>
    <t>Orthopedic notes; surgical history; physical exam</t>
  </si>
  <si>
    <t>distal biceps rupture; atraumatic biceps rupture; Popeye sign</t>
  </si>
  <si>
    <t>Strong positive feature, especially in an appropriate cardiac/orthopedic context.</t>
  </si>
  <si>
    <t>Traumatic/degenerative tendon rupture can occur without amyloid; published study came from a referral cohort.</t>
  </si>
  <si>
    <t>https://pubmed.ncbi.nlm.nih.gov/28898370/</t>
  </si>
  <si>
    <t>WT05</t>
  </si>
  <si>
    <t>ORTHO_LUMBAR_STENOSIS</t>
  </si>
  <si>
    <t>Lumbar spinal stenosis/decompression, especially with thickened ligamentum flavum and another ATTR clue</t>
  </si>
  <si>
    <t>Musculoskeletal / spine</t>
  </si>
  <si>
    <t>Supports ATTRwt strongly</t>
  </si>
  <si>
    <t>Often pre-cardiac</t>
  </si>
  <si>
    <t>LSS/decompression + bilateral CTS or biceps rupture + later cardiac red flag</t>
  </si>
  <si>
    <t>Do not treat 33–45% deposition estimates from selected surgical series as prevalence of systemic ATTRwt-CM.</t>
  </si>
  <si>
    <t>Problem list; spine MRI; operative history</t>
  </si>
  <si>
    <t>lumbar spinal stenosis; laminectomy; decompression; ligamentum flavum hypertrophy</t>
  </si>
  <si>
    <t>Moderate-high feature; strongest when surgical and clustered.</t>
  </si>
  <si>
    <t>Degenerative LSS is extremely common; localized ligament amyloid does not prove systemic cardiac ATTRwt.</t>
  </si>
  <si>
    <t>4.5</t>
  </si>
  <si>
    <t>https://pubmed.ncbi.nlm.nih.gov/34053807/</t>
  </si>
  <si>
    <t>WT11</t>
  </si>
  <si>
    <t>ATOM_WT11</t>
  </si>
  <si>
    <t>Atrial fibrillation/flutter, especially with LV thickening or orthopedic ATTR clues</t>
  </si>
  <si>
    <t>Cardiac electrical</t>
  </si>
  <si>
    <t>CARDIOLOGY</t>
  </si>
  <si>
    <t>CARDIO</t>
  </si>
  <si>
    <t>Cardiac red flag / comparative clue</t>
  </si>
  <si>
    <t>Supports ATTRwt</t>
  </si>
  <si>
    <t>May precede formal diagnosis</t>
  </si>
  <si>
    <t>AF + CTS/LSS + HFpEF/LVH or conduction disease</t>
  </si>
  <si>
    <t>No AF burden threshold is validated for ATTRwt suspicion.</t>
  </si>
  <si>
    <t>Problem list; ECG</t>
  </si>
  <si>
    <t>atrial fibrillation; atrial flutter</t>
  </si>
  <si>
    <t>Moderate-high feature when paired with other ATTRwt clues.</t>
  </si>
  <si>
    <t>AF is very common with aging and valvular disease.</t>
  </si>
  <si>
    <t>Tier 2 - high</t>
  </si>
  <si>
    <t>https://medinform.jmir.org/2026/1/e85803</t>
  </si>
  <si>
    <t>https://pubmed.ncbi.nlm.nih.gov/36907828/</t>
  </si>
  <si>
    <t>WT09</t>
  </si>
  <si>
    <t>CARD_HFPEF_UNEXPLAINED</t>
  </si>
  <si>
    <t>Unexplained HFpEF / heart failure in an older adult</t>
  </si>
  <si>
    <t>Cardiac</t>
  </si>
  <si>
    <t>High-yield cardiac entry phenotype</t>
  </si>
  <si>
    <t>Supports ATTRwt/ATTR</t>
  </si>
  <si>
    <t>Usually near cardiac recognition</t>
  </si>
  <si>
    <t>HFpEF + bilateral/recurrent CTS/LSS/biceps rupture + AF/conduction disease/LVH</t>
  </si>
  <si>
    <t>No age cutoff alone mandates amyloid testing; use enriched phenotype rather than age+HFpEF only.</t>
  </si>
  <si>
    <t>Problem list; cardiology</t>
  </si>
  <si>
    <t>HFpEF; diastolic HF; heart failure</t>
  </si>
  <si>
    <t>High amyloidosis importance, only moderate ATTRwt subtype weight.</t>
  </si>
  <si>
    <t>HFpEF is common and AL/ATTRv/non-amyloid disease overlap.</t>
  </si>
  <si>
    <t>3.5</t>
  </si>
  <si>
    <t>https://pubmed.ncbi.nlm.nih.gov/35509173/</t>
  </si>
  <si>
    <t>https://pubmed.ncbi.nlm.nih.gov/35343098/</t>
  </si>
  <si>
    <t>WT12</t>
  </si>
  <si>
    <t>CARD_CONDUCTION_PACEMAKER</t>
  </si>
  <si>
    <t>Conduction disease (AV block, bundle branch block, sinus-node disease) and/or pacemaker implantation</t>
  </si>
  <si>
    <t>Cardiac red flag</t>
  </si>
  <si>
    <t>May precede or coincide with diagnosis</t>
  </si>
  <si>
    <t>Pacemaker/AV block + CTS/LSS + LVH/HFpEF</t>
  </si>
  <si>
    <t>Do not use 40–44% pacemaker prevalence as a general-population screening yield; it reflects diagnosed ATTRwt cohorts.</t>
  </si>
  <si>
    <t>ECG; device/procedure table</t>
  </si>
  <si>
    <t>AV block; RBBB/LBBB; sick sinus syndrome; pacemaker</t>
  </si>
  <si>
    <t>Moderate-high ATTRwt feature in a multi-domain cluster.</t>
  </si>
  <si>
    <t>Age-related conduction disease is common; ATTRv can also cause conduction disease.</t>
  </si>
  <si>
    <t>https://pubmed.ncbi.nlm.nih.gov/33825853/</t>
  </si>
  <si>
    <t>WT20</t>
  </si>
  <si>
    <t>ATOM_WT20</t>
  </si>
  <si>
    <t>Incidental myocardial uptake on bone-avid scintigraphy performed for a NON-amyloidosis indication</t>
  </si>
  <si>
    <t>Incidental imaging</t>
  </si>
  <si>
    <t>GENERAL MEDICINE</t>
  </si>
  <si>
    <t>SYSTEMIC_CONTEXT</t>
  </si>
  <si>
    <t>Incidental high-yield clue</t>
  </si>
  <si>
    <t>Strongly supports ATTR cardiac amyloidosis</t>
  </si>
  <si>
    <t>No — modifier/context only</t>
  </si>
  <si>
    <t>MODIFIER</t>
  </si>
  <si>
    <t>Potentially pre-symptomatic/incidental</t>
  </si>
  <si>
    <t>Incidental uptake + orthopedic/cardio ATTR phenotype</t>
  </si>
  <si>
    <t>Only count if scan was genuinely ordered for another reason. Do not treat as phenotype if PYP/DPD was ordered because amyloid was already suspected.</t>
  </si>
  <si>
    <t>Only if ordered independently of amyloid work-up</t>
  </si>
  <si>
    <t>Moderate</t>
  </si>
  <si>
    <t>Nuclear medicine report</t>
  </si>
  <si>
    <t>incidental cardiac uptake; myocardial tracer retention on bone scan</t>
  </si>
  <si>
    <t>Very high actionability; separate incidental finding from amyloid-specific diagnostic testing.</t>
  </si>
  <si>
    <t>Once deliberately ordered for amyloidosis it is no longer a pre-test sign. AL exclusion and proper diagnostic interpretation remain mandatory.</t>
  </si>
  <si>
    <t>WT10</t>
  </si>
  <si>
    <t>CARD_LV_THICKENING_UNEXPLAINED</t>
  </si>
  <si>
    <t>Unexplained LV wall thickening / increased relative wall thickness / non-dilated LV on routine echocardiography</t>
  </si>
  <si>
    <t>Cardiac imaging</t>
  </si>
  <si>
    <t>Supports cardiac amyloidosis; ATTRwt possible</t>
  </si>
  <si>
    <t>Near cardiac presentation, sometimes incidental</t>
  </si>
  <si>
    <t>LV thickening/RWT + orthopedic prodrome + AF/conduction disease</t>
  </si>
  <si>
    <t>Do NOT hard-code a universal 11-mm female threshold. Use sex/body-size-aware LVMI or lower suspicion threshold; evidence for exact cutoff remains limited.</t>
  </si>
  <si>
    <t>Yes if obtained for routine care</t>
  </si>
  <si>
    <t>Echo report</t>
  </si>
  <si>
    <t>IVST; posterior wall thickness; LVMI; relative wall thickness; small LV cavity</t>
  </si>
  <si>
    <t>High cardiac-amyloid trigger, moderate subtype discriminator. Preserve female sensitivity.</t>
  </si>
  <si>
    <t>Hypertension, HCM, AS, AL and ATTRv overlap substantially.</t>
  </si>
  <si>
    <t>Tier 3 - moderate</t>
  </si>
  <si>
    <t>https://pubmed.ncbi.nlm.nih.gov/41752875/</t>
  </si>
  <si>
    <t>WT13</t>
  </si>
  <si>
    <t>ATOM_WT13</t>
  </si>
  <si>
    <t>Late-onset HCM phenotype / asymmetric septal hypertrophy without a convincing sarcomeric explanation</t>
  </si>
  <si>
    <t>Cardiac imaging / diagnostic history</t>
  </si>
  <si>
    <t>Cardiac red flag / mimic</t>
  </si>
  <si>
    <t>Supports cardiac amyloidosis; ATTRwt often found</t>
  </si>
  <si>
    <t>At or before amyloid recognition</t>
  </si>
  <si>
    <t>Late-onset HCM + CTS/LSS/AF/conduction disease or low-voltage/mass discordance</t>
  </si>
  <si>
    <t>No universal age cutoff; evidence specifically says age should raise suspicion but does not mandate testing alone.</t>
  </si>
  <si>
    <t>Problem list; echo/CMR</t>
  </si>
  <si>
    <t>HCM; asymmetric septal hypertrophy; basal septal hypertrophy</t>
  </si>
  <si>
    <t>High-value cardiac-mimic trigger in older adults.</t>
  </si>
  <si>
    <t>Sarcomeric HCM and hypertensive remodeling remain common; cohort was referral-enriched.</t>
  </si>
  <si>
    <t>https://pubmed.ncbi.nlm.nih.gov/31371117/</t>
  </si>
  <si>
    <t>WT06</t>
  </si>
  <si>
    <t>ATOM_WT06</t>
  </si>
  <si>
    <t>Hip or knee arthroplasty years before cardiac disease, especially multiple/bilateral large-joint replacements</t>
  </si>
  <si>
    <t>Musculoskeletal / joint</t>
  </si>
  <si>
    <t>Supporting extracardiac red flag</t>
  </si>
  <si>
    <t>Supports ATTR/ATTRwt</t>
  </si>
  <si>
    <t>Tier 3</t>
  </si>
  <si>
    <t>Mean ~7 years before ATTR cardiac diagnosis in one cohort</t>
  </si>
  <si>
    <t>Multiple/bilateral arthroplasties + CTS/LSS + later HFpEF/LVH</t>
  </si>
  <si>
    <t>No validated arthroplasty count or latency threshold for ATTRwt.</t>
  </si>
  <si>
    <t>Procedure history; orthopedic notes</t>
  </si>
  <si>
    <t>THA; TKA; total hip replacement; total knee replacement; bilateral arthroplasty</t>
  </si>
  <si>
    <t>Supportive cluster feature; do not rank as highly as bilateral/recurrent CTS or biceps rupture.</t>
  </si>
  <si>
    <t>Evidence was ATTR broadly, not strictly ATTRwt; arthroplasty is common from osteoarthritis.</t>
  </si>
  <si>
    <t>Moderate-High</t>
  </si>
  <si>
    <t>3</t>
  </si>
  <si>
    <t>https://pubmed.ncbi.nlm.nih.gov/28906148/</t>
  </si>
  <si>
    <t>WT14</t>
  </si>
  <si>
    <t>ATOM_WT14</t>
  </si>
  <si>
    <t>Severe aortic stenosis, particularly low-flow/low-gradient AS with additional amyloid red flags</t>
  </si>
  <si>
    <t>Cardiac / valvular</t>
  </si>
  <si>
    <t>High-risk population</t>
  </si>
  <si>
    <t>Supports ATTR-CM; ATTRwt plausible</t>
  </si>
  <si>
    <t>At valve evaluation / TAVR work-up</t>
  </si>
  <si>
    <t>Severe AS + CTS/LSS/AF/conduction disease + disproportionate wall thickening/low flow</t>
  </si>
  <si>
    <t>Do not hard-code '30% in low-flow low-gradient' as universal; estimates vary by cohort and selection.</t>
  </si>
  <si>
    <t>Problem list; echo; valve clinic</t>
  </si>
  <si>
    <t>severe AS; low-flow low-gradient; TAVR/SAVR</t>
  </si>
  <si>
    <t>Population-enrichment feature, not a subtype-defining sign.</t>
  </si>
  <si>
    <t>AS itself causes LVH/HF and is common in the elderly; not wild-type-specific.</t>
  </si>
  <si>
    <t>https://pubmed.ncbi.nlm.nih.gov/33181246/</t>
  </si>
  <si>
    <t>https://pubmed.ncbi.nlm.nih.gov/38367883/</t>
  </si>
  <si>
    <t>WT16</t>
  </si>
  <si>
    <t>ATOM_WT16</t>
  </si>
  <si>
    <t>Voltage-to-mass discordance and/or pseudoinfarction pattern; normal voltage must not rule out ATTRwt</t>
  </si>
  <si>
    <t>Cardiac red flag / false-negative guardrail</t>
  </si>
  <si>
    <t>Near cardiac presentation</t>
  </si>
  <si>
    <t>Discordant ECG + LV thickening + orthopedic ATTRwt history</t>
  </si>
  <si>
    <t>Do not use absence of low voltage as negative evidence against ATTRwt.</t>
  </si>
  <si>
    <t>ECG + echo</t>
  </si>
  <si>
    <t>low QRS voltage; pseudoinfarction; Q waves V1-V3; voltage/mass discordance</t>
  </si>
  <si>
    <t>Use as cardiac-amyloid evidence and explicit false-negative guardrail.</t>
  </si>
  <si>
    <t>AL also produces low voltage/pseudoinfarction; prior MI can mimic Q waves.</t>
  </si>
  <si>
    <t>https://pmc.ncbi.nlm.nih.gov/articles/PMC8274453/</t>
  </si>
  <si>
    <t>WT15</t>
  </si>
  <si>
    <t>ATOM_WT15</t>
  </si>
  <si>
    <t>Relative apical sparing of longitudinal strain</t>
  </si>
  <si>
    <t>Supports cardiac amyloidosis; weak ATTRwt discriminator</t>
  </si>
  <si>
    <t>Apical sparing + orthopedic prodrome + AF/conduction disease</t>
  </si>
  <si>
    <t>No single strain ratio should be used as a stand-alone ATTRwt diagnostic threshold.</t>
  </si>
  <si>
    <t>Echo strain report</t>
  </si>
  <si>
    <t>relative apical sparing; RELAPS; GLS</t>
  </si>
  <si>
    <t>High amyloid-suspicion score, deliberately lower subtype score.</t>
  </si>
  <si>
    <t>AL can also show apical sparing; it cannot establish ATTRwt.</t>
  </si>
  <si>
    <t>2.5</t>
  </si>
  <si>
    <t>https://pubmed.ncbi.nlm.nih.gov/39679323/</t>
  </si>
  <si>
    <t>WT18</t>
  </si>
  <si>
    <t>ATOM_WT18</t>
  </si>
  <si>
    <t>Long-standing hypertension becoming unexpectedly normal/low, or new intolerance of standard HF/antihypertensive therapy</t>
  </si>
  <si>
    <t>Cardiovascular history</t>
  </si>
  <si>
    <t>Historical cardiac red flag</t>
  </si>
  <si>
    <t>Supports ATTR cardiac amyloidosis</t>
  </si>
  <si>
    <t>Can emerge as cardiomyopathy progresses</t>
  </si>
  <si>
    <t>Falling BP/intolerance + LVH/HFpEF + orthopedic ATTR history</t>
  </si>
  <si>
    <t>No validated magnitude of BP fall or medication-count threshold.</t>
  </si>
  <si>
    <t>Vitals; medication lists; cardiology notes</t>
  </si>
  <si>
    <t>de-escalated antihypertensives; hypotension; beta-blocker intolerance; ACEi/ARB intolerance</t>
  </si>
  <si>
    <t>Moderate supporting feature; use longitudinally and in combination.</t>
  </si>
  <si>
    <t>Frailty, dehydration, autonomic disease, CKD and medication changes can cause the same pattern; not wild-type-specific.</t>
  </si>
  <si>
    <t>WT17</t>
  </si>
  <si>
    <t>ATOM_WT17</t>
  </si>
  <si>
    <t>Reduced myocardial contraction fraction (MCF) despite preserved or mildly reduced LVEF</t>
  </si>
  <si>
    <t>Cardiac imaging / derived measure</t>
  </si>
  <si>
    <t>Supporting cardiac clue / research feature</t>
  </si>
  <si>
    <t>Supports ATTR cardiac involvement</t>
  </si>
  <si>
    <t>Usually established cardiac involvement</t>
  </si>
  <si>
    <t>Low MCF + LV thickening/RWT + orthopedic/electrical red flags</t>
  </si>
  <si>
    <t>NotebookLM's MCF &lt;35% as a screening cutoff is not established here; THAOS prognostic work used &lt;25%.</t>
  </si>
  <si>
    <t>Yes if obtainable from routine echo</t>
  </si>
  <si>
    <t>Echo measurements / derived analytics</t>
  </si>
  <si>
    <t>stroke volume; myocardial volume; MCF</t>
  </si>
  <si>
    <t>Research-supportive derived feature; do not make it a Tier-1 screening cutoff.</t>
  </si>
  <si>
    <t>Evidence is stronger for prognosis/functional characterization than for pre-test ATTRwt diagnosis.</t>
  </si>
  <si>
    <t>https://pubmed.ncbi.nlm.nih.gov/30010028/</t>
  </si>
  <si>
    <t>WT07</t>
  </si>
  <si>
    <t>ATOM_WT07</t>
  </si>
  <si>
    <t>Trigger finger / digit-trigger release, especially multiple digits or combined with CTS</t>
  </si>
  <si>
    <t>Supports ATTR</t>
  </si>
  <si>
    <t>Can precede systemic diagnosis</t>
  </si>
  <si>
    <t>Multiple trigger fingers/trigger release + bilateral CTS + later cardiac red flags</t>
  </si>
  <si>
    <t>No ATTRwt-specific universal biopsy prevalence or time threshold should be encoded.</t>
  </si>
  <si>
    <t>Hand surgery; problem list</t>
  </si>
  <si>
    <t>trigger finger; stenosing tenosynovitis; trigger release</t>
  </si>
  <si>
    <t>Low-moderate standalone weight; meaningful as part of a tenosynovial cluster.</t>
  </si>
  <si>
    <t>Outcome was amyloidosis broadly; not ATTRwt-specific. Trigger finger is common.</t>
  </si>
  <si>
    <t>https://pubmed.ncbi.nlm.nih.gov/35346527/</t>
  </si>
  <si>
    <t>WT19</t>
  </si>
  <si>
    <t>ATOM_WT19</t>
  </si>
  <si>
    <t>Low BNP-to-LV mass index ratio relative to AL (experimental comparative feature)</t>
  </si>
  <si>
    <t>Cardiac laboratory + imaging</t>
  </si>
  <si>
    <t>Experimental discriminator</t>
  </si>
  <si>
    <t>Supports TTR over AL; ATTRwt plausible</t>
  </si>
  <si>
    <t>Tier 4</t>
  </si>
  <si>
    <t>At cardiac presentation</t>
  </si>
  <si>
    <t>Low BNP/LVMI + orthopedic ATTR phenotype and no strong AL renal/mucocutaneous pattern</t>
  </si>
  <si>
    <t>Experimental; do not use &lt;3.5 as a validated clinical ATTRwt cutoff.</t>
  </si>
  <si>
    <t>Only if obtained independently of amyloid work-up</t>
  </si>
  <si>
    <t>Labs + echo</t>
  </si>
  <si>
    <t>BNP; LV mass index; BNP/LVMI</t>
  </si>
  <si>
    <t>Research feature only; useful for model exploration, not clinical rule.</t>
  </si>
  <si>
    <t>Study was small and compared TTR broadly, not ATTRwt specifically; renal function and assay/context influence BNP.</t>
  </si>
  <si>
    <t>Tier 4 - low</t>
  </si>
  <si>
    <t>https://pubmed.ncbi.nlm.nih.gov/26251157/</t>
  </si>
  <si>
    <t>WT08</t>
  </si>
  <si>
    <t>ATOM_WT08</t>
  </si>
  <si>
    <t>Rotator cuff tear/repair or other shoulder pathology as part of an orthopedic cluster</t>
  </si>
  <si>
    <t>Musculoskeletal / shoulder</t>
  </si>
  <si>
    <t>Supports ATTR modestly</t>
  </si>
  <si>
    <t>May precede cardiac diagnosis; exact latency uncertain</t>
  </si>
  <si>
    <t>Shoulder disease + bilateral CTS/LSS/biceps rupture + later cardiac disease</t>
  </si>
  <si>
    <t>No validated rotator-cuff threshold; exact 9.9% figures are cohort-specific.</t>
  </si>
  <si>
    <t>Orthopedic notes; MRI; procedures</t>
  </si>
  <si>
    <t>rotator cuff tear; shoulder arthroplasty; rotator cuff repair</t>
  </si>
  <si>
    <t>Use only as a low-weight cluster enhancer.</t>
  </si>
  <si>
    <t>Very common degenerative condition; weak specificity and less clear timing.</t>
  </si>
  <si>
    <t>https://pubmed.ncbi.nlm.nih.gov/36566619/</t>
  </si>
  <si>
    <t>WT23</t>
  </si>
  <si>
    <t>ATOM_WT23</t>
  </si>
  <si>
    <t>Older age and male sex pattern</t>
  </si>
  <si>
    <t>Demographic</t>
  </si>
  <si>
    <t>Background prior-probability modifier</t>
  </si>
  <si>
    <t>Supports ATTRwt modestly</t>
  </si>
  <si>
    <t>Baseline context</t>
  </si>
  <si>
    <t>Older age/male sex + orthopedic-to-cardiac trajectory</t>
  </si>
  <si>
    <t>No sex or age cutoff should be required. Pathogenic TTR variants occur in elderly ATTR-CM patients.</t>
  </si>
  <si>
    <t>Demographics</t>
  </si>
  <si>
    <t>age; sex</t>
  </si>
  <si>
    <t>Low-weight modifier; never use as an entry criterion by itself.</t>
  </si>
  <si>
    <t>Older age does not distinguish ATTRwt from ATTRv reliably; women can have ATTRwt.</t>
  </si>
  <si>
    <t>https://pubmed.ncbi.nlm.nih.gov/36644836/</t>
  </si>
  <si>
    <t>WT21</t>
  </si>
  <si>
    <t>ATOM_WT21</t>
  </si>
  <si>
    <t>Bilateral sensorineural hearing loss greater than expected for age</t>
  </si>
  <si>
    <t>Neurologic / sensory</t>
  </si>
  <si>
    <t>NEUROLOGY</t>
  </si>
  <si>
    <t>NEURO</t>
  </si>
  <si>
    <t>Supporting extracardiac clue</t>
  </si>
  <si>
    <t>May precede cardiac recognition</t>
  </si>
  <si>
    <t>Hearing loss + CTS/LSS + cardiac phenotype</t>
  </si>
  <si>
    <t>No validated audiometric threshold for ATTRwt suspicion.</t>
  </si>
  <si>
    <t>Audiology; ENT notes</t>
  </si>
  <si>
    <t>sensorineural hearing loss; bilateral hearing aids; presbycusis disproportionate</t>
  </si>
  <si>
    <t>Low-moderate cluster enhancer only.</t>
  </si>
  <si>
    <t>Presbycusis is extremely common; original ATTRwt study was very small. Exact 5.1-year lead time is not robust enough for universal use.</t>
  </si>
  <si>
    <t>Moderate-Low</t>
  </si>
  <si>
    <t>https://pubmed.ncbi.nlm.nih.gov/28598686/</t>
  </si>
  <si>
    <t>WT24</t>
  </si>
  <si>
    <t>RULE_WT24</t>
  </si>
  <si>
    <t>GUARDRAIL_ROUTE</t>
  </si>
  <si>
    <t>ROUTE_OR_MODIFY_INTERPRETATION</t>
  </si>
  <si>
    <t>Female patient with ATTR-like phenotype despite septal wall thickness &lt;12 mm</t>
  </si>
  <si>
    <t>Sex-specific cardiac imaging</t>
  </si>
  <si>
    <t>False-negative guardrail</t>
  </si>
  <si>
    <t>ATTRwt remains possible</t>
  </si>
  <si>
    <t>NO_EXCLUSION_FEMALE_WALL_THICKNESS</t>
  </si>
  <si>
    <t>Female + HFpEF/AF/CTS/LSS + increased LVMI/RWT even if IVST &lt;12 mm</t>
  </si>
  <si>
    <t>Do NOT hard-code ?11 mm as a validated female cutoff; use sex-specific LVMI/body-size-aware interpretation and broader red flags.</t>
  </si>
  <si>
    <t>Demographics + echo</t>
  </si>
  <si>
    <t>IVST; LVMI; RWT; female sex</t>
  </si>
  <si>
    <t>Guardrail against false-negative screening rather than a positive sign.</t>
  </si>
  <si>
    <t>Small cohort; exact best threshold needs validation.</t>
  </si>
  <si>
    <t>Guardrail / differential</t>
  </si>
  <si>
    <t>Guardrail/route: never treat as weak positive Tier 4.</t>
  </si>
  <si>
    <t>WT22</t>
  </si>
  <si>
    <t>ATOM_WT22</t>
  </si>
  <si>
    <t>Mild-to-moderate length-dependent sensory polyneuropathy in an otherwise ATTRwt-like older cardiac/orthopedic phenotype</t>
  </si>
  <si>
    <t>Neurologic</t>
  </si>
  <si>
    <t>Supporting extracardiac clue / subtype guardrail</t>
  </si>
  <si>
    <t>Usually with established systemic/cardio phenotype</t>
  </si>
  <si>
    <t>Mild sensory PN + strong orthopedic/cardio ATTRwt cluster and no hereditary red flags</t>
  </si>
  <si>
    <t>No neuropathy severity threshold defines ATTRwt.</t>
  </si>
  <si>
    <t>Neurology; EMG; problem list</t>
  </si>
  <si>
    <t>sensory polyneuropathy; axonal neuropathy; numbness</t>
  </si>
  <si>
    <t>Low-moderate positive/compatibility feature; subtype interpretation depends on phenotype severity.</t>
  </si>
  <si>
    <t>Prominent painful small-fiber neuropathy, severe dysautonomia, GI failure, ocular signs or family history shift strongly toward ATTRv; AL also causes neuropathy.</t>
  </si>
  <si>
    <t>https://pubmed.ncbi.nlm.nih.gov/34994254/</t>
  </si>
  <si>
    <t>WT30</t>
  </si>
  <si>
    <t>ATOM_WT30</t>
  </si>
  <si>
    <t>DO_NOT_USE</t>
  </si>
  <si>
    <t>RETAIN_FOR_AUDIT_ONLY</t>
  </si>
  <si>
    <t>Elevated serum uric acid</t>
  </si>
  <si>
    <t>Metabolic laboratory</t>
  </si>
  <si>
    <t>ENDOCRINE / METABOLIC</t>
  </si>
  <si>
    <t>Prognostic marker — not recommended as suspicion feature</t>
  </si>
  <si>
    <t>Very weak ATTRwt support; prognostic only</t>
  </si>
  <si>
    <t>NONE_DO_NOT_USE</t>
  </si>
  <si>
    <t>At established cardiac disease</t>
  </si>
  <si>
    <t>Do not use for positive suspicion; at most retain for prognosis/severity research</t>
  </si>
  <si>
    <t>No validated pre-test cutoff for ATTRwt suspicion.</t>
  </si>
  <si>
    <t>Chemistry lab</t>
  </si>
  <si>
    <t>serum uric acid; urate</t>
  </si>
  <si>
    <t>Tier 5 / weak. Exclude from positive screening score unless a future comparative prediagnosis study demonstrates discrimination.</t>
  </si>
  <si>
    <t>CKD, diuretics, gout, metabolic syndrome and HF commonly elevate uric acid.</t>
  </si>
  <si>
    <t>1.5</t>
  </si>
  <si>
    <t>1</t>
  </si>
  <si>
    <t>Tier 5 - weak</t>
  </si>
  <si>
    <t>https://pubmed.ncbi.nlm.nih.gov/31825676/</t>
  </si>
  <si>
    <t>https://pubmed.ncbi.nlm.nih.gov/26660282/</t>
  </si>
  <si>
    <t>Retain only for audit/research; do not use as a positive screening trigger.</t>
  </si>
  <si>
    <t>WT25</t>
  </si>
  <si>
    <t>HEME_MGUS</t>
  </si>
  <si>
    <t>Monoclonal gammopathy / MGUS in an otherwise ATTRwt-like phenotype</t>
  </si>
  <si>
    <t>Hematology / differential</t>
  </si>
  <si>
    <t>HEMATOLOGY</t>
  </si>
  <si>
    <t>HEME_CLONAL</t>
  </si>
  <si>
    <t>Subtype guardrail</t>
  </si>
  <si>
    <t>Does not exclude ATTRwt; raises AL concern</t>
  </si>
  <si>
    <t>AL_SAFETY</t>
  </si>
  <si>
    <t>At or before amyloid evaluation</t>
  </si>
  <si>
    <t>MGUS + strong orthopedic/cardio ATTR phenotype ? keep both AL and ATTR in differential</t>
  </si>
  <si>
    <t>Do not treat MGUS as ATTRwt-positive evidence. It is a differential guardrail and changes the diagnostic pathway.</t>
  </si>
  <si>
    <t>Only if already known</t>
  </si>
  <si>
    <t>Hematology history; lab results</t>
  </si>
  <si>
    <t>MGUS; M-spike; monoclonal gammopathy; immunofixation</t>
  </si>
  <si>
    <t>Guardrail only; low positive-ranking multiplier but high clinical importance.</t>
  </si>
  <si>
    <t>AL is urgent and must be actively excluded. Presence of monoclonal protein invalidates simple non-invasive ATTR attribution and usually requires definitive typing in the clinical pathway.</t>
  </si>
  <si>
    <t>https://pubmed.ncbi.nlm.nih.gov/29424556/</t>
  </si>
  <si>
    <t>WT26</t>
  </si>
  <si>
    <t>RULE_WT26</t>
  </si>
  <si>
    <t>Abnormal serum free-light-chain ratio in CKD that may reflect renal clearance rather than monoclonality</t>
  </si>
  <si>
    <t>Renal / hematology</t>
  </si>
  <si>
    <t>Does not exclude ATTRwt; may be CKD-related FLC shift</t>
  </si>
  <si>
    <t>AL_SAFETY_INTERPRET_FLC_WITH_CKD</t>
  </si>
  <si>
    <t>At differential work-up or incidental monoclonal testing</t>
  </si>
  <si>
    <t>CKD + mild FLC-ratio shift + negative/discordant monoclonal evidence + strong ATTR phenotype</t>
  </si>
  <si>
    <t>CORRECTION: do not use one blanket 0.54–3.30 range for all eGFR ?45. Use assay- and eGFR-specific reference data.</t>
  </si>
  <si>
    <t>Chemistry + hematology lab</t>
  </si>
  <si>
    <t>eGFR; kappa; lambda; FLC ratio</t>
  </si>
  <si>
    <t>Guardrail; not ATTRwt-positive evidence.</t>
  </si>
  <si>
    <t>Assay-specific reference ranges matter; true AL can coexist with CKD; immunofixation context remains essential.</t>
  </si>
  <si>
    <t>https://pubmed.ncbi.nlm.nih.gov/36100605/</t>
  </si>
  <si>
    <t>WT27</t>
  </si>
  <si>
    <t>RULE_AL_ORIENTED_MULTISYSTEM</t>
  </si>
  <si>
    <t>Nephrotic-range proteinuria/marked hypoalbuminemia, macroglossia/periorbital purpura, or strong plasma-cell-disorder context</t>
  </si>
  <si>
    <t>Renal / mucocutaneous / hematology</t>
  </si>
  <si>
    <t>MULTISYSTEM_COMPOSITE</t>
  </si>
  <si>
    <t>Counter-evidence / AL differential</t>
  </si>
  <si>
    <t>Raises AL concern</t>
  </si>
  <si>
    <t>AL</t>
  </si>
  <si>
    <t>Before/at systemic presentation</t>
  </si>
  <si>
    <t>Heavy proteinuria + clonal/mucocutaneous AL pattern ? prioritize AL exclusion</t>
  </si>
  <si>
    <t>No absolute exclusion; this is a strong directional counter-signal.</t>
  </si>
  <si>
    <t>Labs; problem list; exam notes</t>
  </si>
  <si>
    <t>nephrotic syndrome; proteinuria; hypoalbuminemia; macroglossia; periorbital purpura; myeloma</t>
  </si>
  <si>
    <t>ATTRwt down-weight / urgent AL guardrail.</t>
  </si>
  <si>
    <t>MGUS can coexist with ATTRwt, so subtype must remain unresolved until appropriate typing; renal disease can have non-amyloid causes.</t>
  </si>
  <si>
    <t>WT28</t>
  </si>
  <si>
    <t>RULE_ATTRV_NEURO_AUTONOMIC</t>
  </si>
  <si>
    <t>Prominent painful polyneuropathy with marked dysautonomia/GI dysfunction ± family history or ocular signs</t>
  </si>
  <si>
    <t>Neurologic / autonomic / hereditary</t>
  </si>
  <si>
    <t>AUTONOMIC / NEUROLOGY</t>
  </si>
  <si>
    <t>Counter-evidence / ATTRv differential</t>
  </si>
  <si>
    <t>Points toward ATTRv</t>
  </si>
  <si>
    <t>ATTRv</t>
  </si>
  <si>
    <t>Often earlier in ATTRv than classic ATTRwt cardiomyopathy</t>
  </si>
  <si>
    <t>Painful/axonal PN + orthostasis/GI/weight loss + family/ocular signs</t>
  </si>
  <si>
    <t>Family history is supportive but absence does not exclude ATTRv; age does not establish wild-type.</t>
  </si>
  <si>
    <t>Neurology; GI; family history</t>
  </si>
  <si>
    <t>small-fiber neuropathy; dysautonomia; orthostasis; diarrhea/constipation; vitreous opacities; family neuropathy</t>
  </si>
  <si>
    <t>Strong ATTRwt down-weight / ATTRv guardrail.</t>
  </si>
  <si>
    <t>ATTRwt can have some neuropathy/orthostasis, but severe or early autonomic/mixed phenotype shifts toward ATTRv.</t>
  </si>
  <si>
    <t>https://pubmed.ncbi.nlm.nih.gov/31907599/</t>
  </si>
  <si>
    <t>WT29</t>
  </si>
  <si>
    <t>RULE_AA_DRIVER_PLUS_RENAL</t>
  </si>
  <si>
    <t>Chronic inflammatory/autoinflammatory disease or chronic infection + persistent inflammatory burden + heavy proteinuria</t>
  </si>
  <si>
    <t>Inflammatory / renal</t>
  </si>
  <si>
    <t>NEPHROLOGY</t>
  </si>
  <si>
    <t>Counter-evidence / AA differential</t>
  </si>
  <si>
    <t>Points toward AA</t>
  </si>
  <si>
    <t>AA</t>
  </si>
  <si>
    <t>After sustained inflammatory disease</t>
  </si>
  <si>
    <t>Persistent inflammatory disease + CRP/SAA burden + proteinuria/nephrotic syndrome</t>
  </si>
  <si>
    <t>No single inflammation duration threshold; use chronicity/activity plus renal transition.</t>
  </si>
  <si>
    <t>Problem list; labs; rheumatology/infectious disease</t>
  </si>
  <si>
    <t>FMF; RA; Crohn; TB; bronchiectasis; CRP/SAA; proteinuria</t>
  </si>
  <si>
    <t>ATTRwt down-weight / AA guardrail.</t>
  </si>
  <si>
    <t>Older patients may have both degenerative cardiac disease and inflammatory illness; renal cause may remain unresolved.</t>
  </si>
  <si>
    <t>https://pubmed.ncbi.nlm.nih.gov/36759076/</t>
  </si>
  <si>
    <t>https://pubmed.ncbi.nlm.nih.gov/31766892/</t>
  </si>
  <si>
    <t>V02</t>
  </si>
  <si>
    <t>ATOM_V02</t>
  </si>
  <si>
    <t>Progressive length-dependent axonal sensorimotor polyneuropathy</t>
  </si>
  <si>
    <t>Core neurologic phenotype</t>
  </si>
  <si>
    <t>Strongly supports ATTRv</t>
  </si>
  <si>
    <t>Often the first recognized manifestation</t>
  </si>
  <si>
    <t>Progressive axonal PN + autonomic/GI/cardiac/family/ocular red flag</t>
  </si>
  <si>
    <t>No single NCS threshold is diagnostic; progression and phenotype matter.</t>
  </si>
  <si>
    <t>Neurology notes; diagnosis table; EMG/NCS reports</t>
  </si>
  <si>
    <t>axonal polyneuropathy; sensorimotor neuropathy; length-dependent neuropathy</t>
  </si>
  <si>
    <t>Core high-weight feature; use with red-flag enrichment rather than alone.</t>
  </si>
  <si>
    <t>Diabetes, alcohol, nutritional deficiency, toxic neuropathy, AL, CIDP and idiopathic axonal neuropathy can mimic.</t>
  </si>
  <si>
    <t>https://pubmed.ncbi.nlm.nih.gov/35730447/</t>
  </si>
  <si>
    <t>V03</t>
  </si>
  <si>
    <t>RULE_V03</t>
  </si>
  <si>
    <t>COMPOSITE_RULE</t>
  </si>
  <si>
    <t>EVALUATE_CROSS_BUCKET_RULE</t>
  </si>
  <si>
    <t>Idiopathic axonal polyneuropathy plus ?2 ATTRv systemic red flags</t>
  </si>
  <si>
    <t>Neurologic / multisystem</t>
  </si>
  <si>
    <t>High-priority screening cluster</t>
  </si>
  <si>
    <t>Before genetic confirmation</t>
  </si>
  <si>
    <t>PN + ?2 of family history, bilateral/recurrent CTS, dysautonomia, GI disease, cardiac disease, ocular signs or renal abnormalities</t>
  </si>
  <si>
    <t>Use the published ?2-red-flag structure as a research heuristic, not a universal diagnostic cutoff.</t>
  </si>
  <si>
    <t>Derived from diagnoses, family history, notes, cardiology/GI/ophthalmology data</t>
  </si>
  <si>
    <t>idiopathic axonal neuropathy; red flags; multisystem</t>
  </si>
  <si>
    <t>Core review-priority phenotype.</t>
  </si>
  <si>
    <t>Yield is referral- and geography-dependent; the 10% figure is not a universal prevalence estimate.</t>
  </si>
  <si>
    <t>https://pubmed.ncbi.nlm.nih.gov/37725003/</t>
  </si>
  <si>
    <t>https://pubmed.ncbi.nlm.nih.gov/26663427/</t>
  </si>
  <si>
    <t>V04</t>
  </si>
  <si>
    <t>ATOM_V04</t>
  </si>
  <si>
    <t>Painful small-fiber neuropathy / burning feet with early pain-temperature loss</t>
  </si>
  <si>
    <t>Often early, before major weakness</t>
  </si>
  <si>
    <t>Painful small-fiber PN + dysautonomia/GI symptoms/family history</t>
  </si>
  <si>
    <t>Routine NCS can be normal early; do not require large-fiber abnormalities.</t>
  </si>
  <si>
    <t>Neurology notes; symptom NLP; skin/small-fiber testing if done</t>
  </si>
  <si>
    <t>burning feet; small fiber neuropathy; pain-temperature loss</t>
  </si>
  <si>
    <t>Strong positive neurologic feature, especially with multisystem enrichment.</t>
  </si>
  <si>
    <t>Diabetic and idiopathic small-fiber neuropathy are common mimics; AL can also cause painful/autonomic neuropathy.</t>
  </si>
  <si>
    <t>https://pubmed.ncbi.nlm.nih.gov/37869146/</t>
  </si>
  <si>
    <t>V06</t>
  </si>
  <si>
    <t>RULE_V06</t>
  </si>
  <si>
    <t>Mixed neurologic + cardiac phenotype</t>
  </si>
  <si>
    <t>Multisystem</t>
  </si>
  <si>
    <t>May evolve over years</t>
  </si>
  <si>
    <t>Progressive PN/dysautonomia + LVH/HFpEF/arrhythmia ± family history</t>
  </si>
  <si>
    <t>No universal combination score is validated.</t>
  </si>
  <si>
    <t>Derived from neurology + cardiology data</t>
  </si>
  <si>
    <t>neuropathy + cardiomyopathy; mixed phenotype</t>
  </si>
  <si>
    <t>Core subtype-discrimination construct.</t>
  </si>
  <si>
    <t>AL is also multisystem; renal/plasma-cell clues should redirect toward AL.</t>
  </si>
  <si>
    <t>https://pubmed.ncbi.nlm.nih.gov/38844302/</t>
  </si>
  <si>
    <t>V05</t>
  </si>
  <si>
    <t>ATOM_V05</t>
  </si>
  <si>
    <t>Early autonomic dysfunction / dysautonomia</t>
  </si>
  <si>
    <t>Autonomic neurologic</t>
  </si>
  <si>
    <t>AUTONOMIC</t>
  </si>
  <si>
    <t>Early autonomic red flag</t>
  </si>
  <si>
    <t>Can be first manifestation</t>
  </si>
  <si>
    <t>Dysautonomia + progressive neuropathy + GI/weight loss/family or cardiac clues</t>
  </si>
  <si>
    <t>No universal autonomic score threshold for general screening.</t>
  </si>
  <si>
    <t>Neurology; cardiology; GI/urology notes</t>
  </si>
  <si>
    <t>dysautonomia; autonomic neuropathy; sweating abnormality</t>
  </si>
  <si>
    <t>Core positive feature; subtype value rises when autonomic involvement is early and multi-domain.</t>
  </si>
  <si>
    <t>AL, diabetes, Parkinsonian disorders and medications can also cause dysautonomia.</t>
  </si>
  <si>
    <t>https://pubmed.ncbi.nlm.nih.gov/31473866/</t>
  </si>
  <si>
    <t>V14</t>
  </si>
  <si>
    <t>ATOM_V14</t>
  </si>
  <si>
    <t>Prior CIDP diagnosis with poor/absent IVIG or immunotherapy response</t>
  </si>
  <si>
    <t>Misdiagnosis red flag</t>
  </si>
  <si>
    <t>Before correct diagnosis</t>
  </si>
  <si>
    <t>CIDP label + distal axonal/progressive course + autonomic/GI/cardiac/CTS clues</t>
  </si>
  <si>
    <t>No number-of-IVIG-cycles threshold is validated.</t>
  </si>
  <si>
    <t>Neurology notes; infusion/medication history</t>
  </si>
  <si>
    <t>CIDP; IVIG; refractory; no response; steroid nonresponse</t>
  </si>
  <si>
    <t>High-priority review trigger, not proof of ATTRv.</t>
  </si>
  <si>
    <t>True refractory CIDP exists; a 2025 red-flag screening study showed red flags alone have limited specificity.</t>
  </si>
  <si>
    <t>https://pubmed.ncbi.nlm.nih.gov/28188196/</t>
  </si>
  <si>
    <t>https://pubmed.ncbi.nlm.nih.gov/40670759/</t>
  </si>
  <si>
    <t>V15</t>
  </si>
  <si>
    <t>ATOM_V15</t>
  </si>
  <si>
    <t>Vitreous opacities / amyloid vitreopathy / unexplained recurrent dark floaters confirmed by ophthalmology</t>
  </si>
  <si>
    <t>Ocular</t>
  </si>
  <si>
    <t>OPHTHALMOLOGY</t>
  </si>
  <si>
    <t>OCULAR</t>
  </si>
  <si>
    <t>Strong subtype clue</t>
  </si>
  <si>
    <t>Variable; may precede other systemic recognition in ocular-prone variants</t>
  </si>
  <si>
    <t>Vitreous opacities + neuropathy/family history/scalloped pupil</t>
  </si>
  <si>
    <t>No universal prevalence or symptom-only diagnostic criterion across variants.</t>
  </si>
  <si>
    <t>Ophthalmology notes; procedure history</t>
  </si>
  <si>
    <t>vitreous opacities; vitreopathy; dark floaters</t>
  </si>
  <si>
    <t>High subtype discriminator when objectively documented.</t>
  </si>
  <si>
    <t>Common benign floaters are not equivalent; ophthalmologist documentation matters.</t>
  </si>
  <si>
    <t>https://pubmed.ncbi.nlm.nih.gov/42078187/</t>
  </si>
  <si>
    <t>https://pubmed.ncbi.nlm.nih.gov/20301373/</t>
  </si>
  <si>
    <t>V07</t>
  </si>
  <si>
    <t>ATOM_V07</t>
  </si>
  <si>
    <t>First-degree family history of genetically or clinically established ATTR amyloidosis</t>
  </si>
  <si>
    <t>Genetic / family</t>
  </si>
  <si>
    <t>GENETICS / FAMILY HISTORY</t>
  </si>
  <si>
    <t>HEREDITARY</t>
  </si>
  <si>
    <t>Background risk</t>
  </si>
  <si>
    <t>ETIOLOGIC_CONTEXT</t>
  </si>
  <si>
    <t>Can precede symptoms by decades</t>
  </si>
  <si>
    <t>Family history + any compatible neuropathy/autonomic/cardiac/ocular sign</t>
  </si>
  <si>
    <t>No family-history requirement; absence must not be used as a negative gate.</t>
  </si>
  <si>
    <t>Family-history field; genetics and neurology notes</t>
  </si>
  <si>
    <t>family amyloidosis; TTR; familial neuropathy/cardiomyopathy</t>
  </si>
  <si>
    <t>Strong background feature; never require it.</t>
  </si>
  <si>
    <t>Small families, nonpenetrance, adoption and misdiagnosis can hide family history.</t>
  </si>
  <si>
    <t>V08</t>
  </si>
  <si>
    <t>ATOM_V08</t>
  </si>
  <si>
    <t>Family history of unexplained adult-onset progressive neuropathy</t>
  </si>
  <si>
    <t>Before or at symptom onset</t>
  </si>
  <si>
    <t>Family neuropathy + progressive painful/axonal PN + dysautonomia/CTS/cardiac signs</t>
  </si>
  <si>
    <t>No universal pedigree threshold.</t>
  </si>
  <si>
    <t>Family-history section; neurology notes</t>
  </si>
  <si>
    <t>family history neuropathy; walking disability; unexplained neuropathy</t>
  </si>
  <si>
    <t>Strong context feature.</t>
  </si>
  <si>
    <t>Diabetes and other inherited neuropathies can cluster in families.</t>
  </si>
  <si>
    <t>https://pubmed.ncbi.nlm.nih.gov/42584723/</t>
  </si>
  <si>
    <t>V01</t>
  </si>
  <si>
    <t>ATOM_V01</t>
  </si>
  <si>
    <t>Known pathogenic/likely pathogenic TTR variant from prior cascade or family testing</t>
  </si>
  <si>
    <t>Can precede symptoms by years to decades</t>
  </si>
  <si>
    <t>Known carrier + any new compatible neurologic, autonomic, cardiac, renal or ocular change</t>
  </si>
  <si>
    <t>No universal age or biomarker threshold; monitor relative to variant/family predicted age of onset.</t>
  </si>
  <si>
    <t>Genetics notes; family-history section; problem list</t>
  </si>
  <si>
    <t>pathogenic TTR variant; TTR carrier; familial amyloidosis</t>
  </si>
  <si>
    <t>Very strong prior-risk feature; require new objective/clinical evidence before labeling active ATTRv.</t>
  </si>
  <si>
    <t>Incomplete penetrance; asymptomatic carriers may remain disease-free for years.</t>
  </si>
  <si>
    <t>V09</t>
  </si>
  <si>
    <t>AUTONOMIC_ORTHOSTASIS</t>
  </si>
  <si>
    <t>Orthostatic hypotension / recurrent orthostatic intolerance</t>
  </si>
  <si>
    <t>Autonomic / cardiovascular</t>
  </si>
  <si>
    <t>AUTONOMIC / CARDIOLOGY</t>
  </si>
  <si>
    <t>Supports ATTRv strongly</t>
  </si>
  <si>
    <t>Can occur early</t>
  </si>
  <si>
    <t>Orthostasis + painful/axonal PN + GI/urinary/sexual autonomic features</t>
  </si>
  <si>
    <t>Use standard clinical orthostatic definitions; medication context is essential.</t>
  </si>
  <si>
    <t>Vitals; problem list; cardiology/neurology notes</t>
  </si>
  <si>
    <t>orthostatic hypotension; postural BP drop; dizziness on standing</t>
  </si>
  <si>
    <t>Strong supporting feature within an autonomic cluster.</t>
  </si>
  <si>
    <t>Diuretics, dehydration, antihypertensives and diabetic autonomic neuropathy can mimic.</t>
  </si>
  <si>
    <t>V10</t>
  </si>
  <si>
    <t>AUTONOMIC_GI_DYSMOTILITY</t>
  </si>
  <si>
    <t>Alternating diarrhea/constipation, chronic diarrhea, or otherwise unexplained GI dysmotility</t>
  </si>
  <si>
    <t>Gastrointestinal / autonomic</t>
  </si>
  <si>
    <t>GASTROENTEROLOGY</t>
  </si>
  <si>
    <t>Can be early</t>
  </si>
  <si>
    <t>GI dysmotility + progressive PN + weight loss/orthostasis</t>
  </si>
  <si>
    <t>No symptom-frequency or 'no abdominal pain' criterion is validated.</t>
  </si>
  <si>
    <t>GI notes; problem list</t>
  </si>
  <si>
    <t>alternating diarrhea constipation; chronic diarrhea; dysmotility</t>
  </si>
  <si>
    <t>Strong multisystem feature; focus on chronicity and unexplained pattern.</t>
  </si>
  <si>
    <t>IBS, IBD, celiac disease, medications and AL can mimic; NotebookLM's 'absence of abdominal pain' is not a validated universal rule.</t>
  </si>
  <si>
    <t>V11</t>
  </si>
  <si>
    <t>AUTONOMIC_GASTROPARESIS_EARLY_SATIETY</t>
  </si>
  <si>
    <t>Gastroparesis / delayed gastric emptying / early satiety / recurrent nausea-vomiting</t>
  </si>
  <si>
    <t>Gastroparesis/early satiety + neuropathy + orthostasis/weight loss</t>
  </si>
  <si>
    <t>No amyloid-specific gastric-emptying threshold.</t>
  </si>
  <si>
    <t>GI notes; gastric emptying report</t>
  </si>
  <si>
    <t>gastroparesis; delayed gastric emptying; early satiety</t>
  </si>
  <si>
    <t>Strong supporting feature in autonomic cluster.</t>
  </si>
  <si>
    <t>Diabetes, medications, functional GI disorders and AL are important mimics.</t>
  </si>
  <si>
    <t>https://pubmed.ncbi.nlm.nih.gov/38174864/</t>
  </si>
  <si>
    <t>V16</t>
  </si>
  <si>
    <t>ATOM_V16</t>
  </si>
  <si>
    <t>Scalloped pupil / characteristic pupillary or iris abnormality</t>
  </si>
  <si>
    <t>Usually during ocular involvement</t>
  </si>
  <si>
    <t>Scalloped pupil + vitreous disease + neuropathy/family history</t>
  </si>
  <si>
    <t>No universal threshold; specialist documentation required.</t>
  </si>
  <si>
    <t>Ophthalmology notes</t>
  </si>
  <si>
    <t>scalloped pupil; irregular pupil; amyloid iris</t>
  </si>
  <si>
    <t>High discriminator, low sensitivity.</t>
  </si>
  <si>
    <t>Low sensitivity and examiner dependence; other pupillary disorders exist.</t>
  </si>
  <si>
    <t>V12</t>
  </si>
  <si>
    <t>SYSTEMIC_WEIGHT_LOSS</t>
  </si>
  <si>
    <t>Unintentional weight loss / declining BMI or mBMI</t>
  </si>
  <si>
    <t>Systemic / GI</t>
  </si>
  <si>
    <t>Supporting systemic clue</t>
  </si>
  <si>
    <t>Can precede or accompany neuropathy</t>
  </si>
  <si>
    <t>Weight loss + GI dysmotility + neuropathy/autonomic signs</t>
  </si>
  <si>
    <t>No universal percentage-loss or mBMI cutoff for screening.</t>
  </si>
  <si>
    <t>Weights; nutrition notes; problem list</t>
  </si>
  <si>
    <t>unintentional weight loss; BMI decline; cachexia</t>
  </si>
  <si>
    <t>Moderate-strong feature in a multisystem cluster.</t>
  </si>
  <si>
    <t>AL, cancer, infection and many GI disorders also cause weight loss.</t>
  </si>
  <si>
    <t>V17</t>
  </si>
  <si>
    <t>ATOM_V17</t>
  </si>
  <si>
    <t>Persistent microalbuminuria in a known TTR carrier</t>
  </si>
  <si>
    <t>Renal / carrier surveillance</t>
  </si>
  <si>
    <t>RENAL</t>
  </si>
  <si>
    <t>Carrier conversion clue</t>
  </si>
  <si>
    <t>May precede overt neuropathy/nephropathy</t>
  </si>
  <si>
    <t>Known carrier + persistent microalbuminuria + subtle neurologic/autonomic change</t>
  </si>
  <si>
    <t>Do not generalize the p.Val50Met cohort cadence/cutoffs to all variants.</t>
  </si>
  <si>
    <t>Urine laboratory</t>
  </si>
  <si>
    <t>UACR; microalbumin; albuminuria</t>
  </si>
  <si>
    <t>Useful carrier-surveillance feature; lower weight in unselected patients.</t>
  </si>
  <si>
    <t>Evidence is old and genotype-specific; diabetes/HTN also cause albuminuria, so it is not a general-population ATTRv rule.</t>
  </si>
  <si>
    <t>https://pubmed.ncbi.nlm.nih.gov/12584275/</t>
  </si>
  <si>
    <t>V13</t>
  </si>
  <si>
    <t>Bilateral or recurrent carpal tunnel syndrome, especially persistent/recurrent symptoms after release</t>
  </si>
  <si>
    <t>Musculoskeletal / neurologic</t>
  </si>
  <si>
    <t>Extracardiac red flag</t>
  </si>
  <si>
    <t>Supports ATTRv</t>
  </si>
  <si>
    <t>Can precede length-dependent neuropathy by years</t>
  </si>
  <si>
    <t>Recurrent/bilateral CTS + neuropathy/autonomic/family/ocular clues</t>
  </si>
  <si>
    <t>No validated recurrence count or surgery interval threshold.</t>
  </si>
  <si>
    <t>Problem list; hand-surgery history</t>
  </si>
  <si>
    <t>bilateral CTS; recurrent CTS; carpal tunnel release; persistent numbness after release</t>
  </si>
  <si>
    <t>Moderate ATTRv positive feature; high ATTR-general value, subtype interpretation depends on neurologic/family context.</t>
  </si>
  <si>
    <t>CTS is strongly associated with ATTRwt and common in the general population; it does not distinguish ATTRv from ATTRwt by itself.</t>
  </si>
  <si>
    <t>https://pubmed.ncbi.nlm.nih.gov/35153720/</t>
  </si>
  <si>
    <t>https://pubmed.ncbi.nlm.nih.gov/31975495/</t>
  </si>
  <si>
    <t>V24</t>
  </si>
  <si>
    <t>ATOM_V24</t>
  </si>
  <si>
    <t>Cardiomyopathy / HFpEF / unexplained increased LV wall thickness</t>
  </si>
  <si>
    <t>Cardiac component</t>
  </si>
  <si>
    <t>May be first or later manifestation</t>
  </si>
  <si>
    <t>Cardiac phenotype + family history/neuropathy/dysautonomia/ocular sign</t>
  </si>
  <si>
    <t>Routine echo red flags are amyloidosis clues, not ATTRv-specific thresholds.</t>
  </si>
  <si>
    <t>Cardiology problem list; echo report</t>
  </si>
  <si>
    <t>HFpEF; LVH; increased wall thickness; cardiomyopathy</t>
  </si>
  <si>
    <t>High amyloidosis importance, moderate ATTRv subtype weight.</t>
  </si>
  <si>
    <t>ATTRwt and AL strongly overlap; cardiac phenotype alone cannot assign ATTRv.</t>
  </si>
  <si>
    <t>V18</t>
  </si>
  <si>
    <t>ATOM_V18</t>
  </si>
  <si>
    <t>Rising serum/plasma neurofilament light chain (NfL) in a known carrier or unexplained neuropathy work-up</t>
  </si>
  <si>
    <t>Neurologic biomarker</t>
  </si>
  <si>
    <t>Specialized early marker</t>
  </si>
  <si>
    <t>May rise before clinically confirmed neuropathy</t>
  </si>
  <si>
    <t>Known carrier + rising NfL + subtle sensory/autonomic findings</t>
  </si>
  <si>
    <t>Do not encode a universal pg/mL cutoff; published thresholds differ by cohort/assay. Trend may be more transportable.</t>
  </si>
  <si>
    <t>Low</t>
  </si>
  <si>
    <t>Specialty laboratory; neurology notes</t>
  </si>
  <si>
    <t>neurofilament light chain; NfL; sNfL</t>
  </si>
  <si>
    <t>Specialized carrier/neuropathy-monitoring feature; not a general EHR prerequisite.</t>
  </si>
  <si>
    <t>NfL is nonspecific for ATTRv and assay/cutoffs vary; it is not a routine population screening lab.</t>
  </si>
  <si>
    <t>https://pubmed.ncbi.nlm.nih.gov/38477065/</t>
  </si>
  <si>
    <t>https://pubmed.ncbi.nlm.nih.gov/38348665/</t>
  </si>
  <si>
    <t>V19</t>
  </si>
  <si>
    <t>ATOM_V19</t>
  </si>
  <si>
    <t>Reduced electrochemical skin conductance on SUDOSCAN</t>
  </si>
  <si>
    <t>Autonomic / small-fiber</t>
  </si>
  <si>
    <t>Can detect early sudomotor dysfunction</t>
  </si>
  <si>
    <t>Reduced ESC + neuropathy/autonomic symptoms + carrier/family context</t>
  </si>
  <si>
    <t>Do not hard-code a universal µS cutoff; published thresholds vary.</t>
  </si>
  <si>
    <t>Neurology/autonomic test reports</t>
  </si>
  <si>
    <t>SUDOSCAN; electrochemical skin conductance; ESC</t>
  </si>
  <si>
    <t>Specialized early-marker row; useful when already performed.</t>
  </si>
  <si>
    <t>Abnormal ESC is not specific to ATTRv and cutoffs vary by device/cohort; ATTRwt and diabetes can also affect sudomotor function.</t>
  </si>
  <si>
    <t>https://pubmed.ncbi.nlm.nih.gov/38261153/</t>
  </si>
  <si>
    <t>V21</t>
  </si>
  <si>
    <t>ATOM_V21</t>
  </si>
  <si>
    <t>MR neurography abnormalities of peripheral nerves / lumbosacral plexus</t>
  </si>
  <si>
    <t>Neurologic imaging</t>
  </si>
  <si>
    <t>Can reveal subclinical or early nerve injury</t>
  </si>
  <si>
    <t>MRN abnormality + progressive neuropathy/family or autonomic context</t>
  </si>
  <si>
    <t>No universal MRN threshold across sequences/centers.</t>
  </si>
  <si>
    <t>Radiology / neuroradiology report</t>
  </si>
  <si>
    <t>MR neurography; plexus enlargement; sciatic nerve T2; DTI</t>
  </si>
  <si>
    <t>Specialized supportive feature if already performed for neuropathy.</t>
  </si>
  <si>
    <t>Specialized availability; abnormalities are not pathognomonic and studies are relatively small.</t>
  </si>
  <si>
    <t>https://pubmed.ncbi.nlm.nih.gov/35438324/</t>
  </si>
  <si>
    <t>https://pubmed.ncbi.nlm.nih.gov/37329346/</t>
  </si>
  <si>
    <t>V25</t>
  </si>
  <si>
    <t>Conduction disease, arrhythmia, or pacemaker in a compatible hereditary phenotype</t>
  </si>
  <si>
    <t>Can accompany or precede other manifestations</t>
  </si>
  <si>
    <t>Conduction disease + progressive PN/dysautonomia/family history</t>
  </si>
  <si>
    <t>No subtype-specific ECG threshold.</t>
  </si>
  <si>
    <t>ECG; pacemaker/device history</t>
  </si>
  <si>
    <t>AV block; bundle branch block; atrial fibrillation; pacemaker</t>
  </si>
  <si>
    <t>Moderate supporting feature, strongest in multisystem context.</t>
  </si>
  <si>
    <t>Age-related AF/block and ATTRwt overlap strongly.</t>
  </si>
  <si>
    <t>V26</t>
  </si>
  <si>
    <t>ATOM_V26</t>
  </si>
  <si>
    <t>Erectile dysfunction accompanying other autonomic/neurologic symptoms</t>
  </si>
  <si>
    <t>Autonomic / urogenital</t>
  </si>
  <si>
    <t>Can precede sensory neuropathy in some men</t>
  </si>
  <si>
    <t>ED + orthostasis/GI dysmotility + PN</t>
  </si>
  <si>
    <t>No screening cutoff; use only in cluster.</t>
  </si>
  <si>
    <t>Problem list; urology notes</t>
  </si>
  <si>
    <t>erectile dysfunction; impotence</t>
  </si>
  <si>
    <t>Supporting feature, never standalone.</t>
  </si>
  <si>
    <t>Very common from vascular, endocrine, medication and psychogenic causes.</t>
  </si>
  <si>
    <t>V28</t>
  </si>
  <si>
    <t>ATOM_V28</t>
  </si>
  <si>
    <t>Bulbar symptoms: unexplained dysphagia, hoarseness, dysarthria or choking</t>
  </si>
  <si>
    <t>Bulbar / cranial neurologic</t>
  </si>
  <si>
    <t>Variant-specific clue</t>
  </si>
  <si>
    <t>Can be early in selected variants</t>
  </si>
  <si>
    <t>Bulbar symptoms + neuropathy/CTS/cardiac/family context</t>
  </si>
  <si>
    <t>Do not generalize the p.A117S frequency to all ATTRv variants.</t>
  </si>
  <si>
    <t>ENT; speech/swallow; neurology notes</t>
  </si>
  <si>
    <t>dysphagia; hoarseness; dysarthria; choking</t>
  </si>
  <si>
    <t>Moderate variant-specific signal.</t>
  </si>
  <si>
    <t>Strongly genotype-dependent; stroke, neurodegeneration, reflux and structural ENT disease are common alternatives.</t>
  </si>
  <si>
    <t>V20</t>
  </si>
  <si>
    <t>ATOM_V20</t>
  </si>
  <si>
    <t>Abnormal cutaneous silent period (CSP) suggesting small-fiber dysfunction</t>
  </si>
  <si>
    <t>Neurologic electrophysiology</t>
  </si>
  <si>
    <t>Potentially presymptomatic/early</t>
  </si>
  <si>
    <t>Abnormal CSP + carrier status + subtle sensory/autonomic changes</t>
  </si>
  <si>
    <t>No validated universal screening cutoff.</t>
  </si>
  <si>
    <t>Neurophysiology report</t>
  </si>
  <si>
    <t>cutaneous silent period; CSP latency</t>
  </si>
  <si>
    <t>Exploratory/specialized feature; lower priority than routine clinical signs.</t>
  </si>
  <si>
    <t>Evidence base is small; CSP is not routine and is not ATTRv-specific.</t>
  </si>
  <si>
    <t>https://pubmed.ncbi.nlm.nih.gov/35943637/</t>
  </si>
  <si>
    <t>V22</t>
  </si>
  <si>
    <t>ATOM_V22</t>
  </si>
  <si>
    <t>Nerve ultrasound showing abnormal proximal nerve/plexus enlargement or ATTR-pattern abnormalities</t>
  </si>
  <si>
    <t>Ultrasound abnormality + carrier/family status + subtle PN</t>
  </si>
  <si>
    <t>No universal cross-sectional-area threshold.</t>
  </si>
  <si>
    <t>Neurology ultrasound report</t>
  </si>
  <si>
    <t>nerve ultrasound; cross-sectional area; brachial plexus</t>
  </si>
  <si>
    <t>Exploratory/specialized supporting feature.</t>
  </si>
  <si>
    <t>Evidence is small and variant/center-specific; pattern is not validated for population screening.</t>
  </si>
  <si>
    <t>https://www.sciencedirect.com/science/article/pii/S1388245725012982</t>
  </si>
  <si>
    <t>V37</t>
  </si>
  <si>
    <t>RULE_V37</t>
  </si>
  <si>
    <t>Mild/well-controlled diabetes that does not explain severe, rapidly progressive or ataxic neuropathy</t>
  </si>
  <si>
    <t>Metabolic / neurologic</t>
  </si>
  <si>
    <t>Specificity guardrail</t>
  </si>
  <si>
    <t>Supports ATTRv modestly</t>
  </si>
  <si>
    <t>ANTI_ANCHORING_NOT_EXCLUSION</t>
  </si>
  <si>
    <t>During neuropathy work-up</t>
  </si>
  <si>
    <t>Controlled/mild diabetes + rapid axonal progression + dysautonomia/GI/family/CTS</t>
  </si>
  <si>
    <t>No HbA1c or diabetes-duration threshold is validated for ATTRv screening.</t>
  </si>
  <si>
    <t>Problem list; HbA1c; neurology notes</t>
  </si>
  <si>
    <t>diabetes; HbA1c; rapidly progressive neuropathy</t>
  </si>
  <si>
    <t>Use as an anti-anchoring composite, not a positive diabetes feature.</t>
  </si>
  <si>
    <t>Diabetes remains the most common cause of neuropathy and should generally lower specificity.</t>
  </si>
  <si>
    <t>V23</t>
  </si>
  <si>
    <t>ATOM_V23</t>
  </si>
  <si>
    <t>Cardiac sympathetic denervation on 123I-MIBG scintigraphy</t>
  </si>
  <si>
    <t>Cardiac autonomic imaging</t>
  </si>
  <si>
    <t>Potentially subclinical/early</t>
  </si>
  <si>
    <t>Abnormal MIBG + carrier status + autonomic/neurologic signs</t>
  </si>
  <si>
    <t>No universal screening threshold; do not claim superiority to bone scintigraphy as established clinical standard.</t>
  </si>
  <si>
    <t>Nuclear cardiology report</t>
  </si>
  <si>
    <t>123I-MIBG; heart-to-mediastinum ratio; sympathetic denervation</t>
  </si>
  <si>
    <t>Specialized carrier-monitoring signal only.</t>
  </si>
  <si>
    <t>Small study; MIBG is not routine in many systems and is not ATTRv-specific.</t>
  </si>
  <si>
    <t>https://pubmed.ncbi.nlm.nih.gov/41773910/</t>
  </si>
  <si>
    <t>V29</t>
  </si>
  <si>
    <t>ATOM_V29</t>
  </si>
  <si>
    <t>Painless plantar ulcers / trophic foot changes / Charcot-type injury from sensory loss</t>
  </si>
  <si>
    <t>Neurologic / skin</t>
  </si>
  <si>
    <t>Usually after small-fiber sensory loss; can precede recognition of large-fiber weakness</t>
  </si>
  <si>
    <t>Painless ulcers + pain-temperature loss + autonomic/GI/family clues</t>
  </si>
  <si>
    <t>No ulcer number/location threshold is validated.</t>
  </si>
  <si>
    <t>Wound care; podiatry; neurology notes</t>
  </si>
  <si>
    <t>plantar ulcer; painless ulcer; Charcot joint; trophic change</t>
  </si>
  <si>
    <t>Moderate cluster feature; down-weight strongly if diabetes/vascular explanation is adequate.</t>
  </si>
  <si>
    <t>Diabetes and vascular disease are major mimics and often more common causes.</t>
  </si>
  <si>
    <t>https://pmc.ncbi.nlm.nih.gov/articles/PMC3584981/</t>
  </si>
  <si>
    <t>V27</t>
  </si>
  <si>
    <t>ATOM_V27</t>
  </si>
  <si>
    <t>Urinary retention/incontinence / neurogenic bladder with neuropathy</t>
  </si>
  <si>
    <t>Usually with autonomic disease</t>
  </si>
  <si>
    <t>Bladder dysfunction + orthostasis/GI + progressive PN</t>
  </si>
  <si>
    <t>No subtype-specific urodynamic threshold.</t>
  </si>
  <si>
    <t>Urology/neurology notes</t>
  </si>
  <si>
    <t>urinary retention; neurogenic bladder; incontinence</t>
  </si>
  <si>
    <t>Supporting cluster feature.</t>
  </si>
  <si>
    <t>BPH, pelvic disease, spinal disease, medications and diabetes are common mimics.</t>
  </si>
  <si>
    <t>V31</t>
  </si>
  <si>
    <t>ATOM_V31</t>
  </si>
  <si>
    <t>Progressive intolerance to antihypertensives / need to down-titrate therapy with falling blood pressure</t>
  </si>
  <si>
    <t>Cardiac / autonomic</t>
  </si>
  <si>
    <t>ATTR/cardiac-amyloid clue</t>
  </si>
  <si>
    <t>Weakly supports ATTRv</t>
  </si>
  <si>
    <t>Often with developing cardiac/autonomic involvement</t>
  </si>
  <si>
    <t>Down-titration + neuropathy/autonomic/family history</t>
  </si>
  <si>
    <t>No validated 'disappearing hypertension' magnitude or medication-count threshold.</t>
  </si>
  <si>
    <t>Medication list; BP vitals; cardiology notes</t>
  </si>
  <si>
    <t>antihypertensive discontinued; beta-blocker intolerance; ACEi intolerance; low BP</t>
  </si>
  <si>
    <t>Moderate amyloid red flag, low subtype discriminator.</t>
  </si>
  <si>
    <t>This is cardiac-amyloidosis/ATTR-general, not ATTRv-specific; AL can also cause intolerance.</t>
  </si>
  <si>
    <t>2</t>
  </si>
  <si>
    <t>https://pubmed.ncbi.nlm.nih.gov/36697326/</t>
  </si>
  <si>
    <t>https://pmc.ncbi.nlm.nih.gov/articles/PMC9897687/</t>
  </si>
  <si>
    <t>V30</t>
  </si>
  <si>
    <t>Lumbar spinal stenosis / prior decompression with persistent lower-limb symptoms</t>
  </si>
  <si>
    <t>ATTR-general clue</t>
  </si>
  <si>
    <t>Can precede neuropathy/cardiac diagnosis</t>
  </si>
  <si>
    <t>LSS + progressive neuropathy/dysautonomia/family history</t>
  </si>
  <si>
    <t>No validated imaging or surgical threshold for ATTRv suspicion.</t>
  </si>
  <si>
    <t>Problem list; spine MRI; surgery</t>
  </si>
  <si>
    <t>lumbar stenosis; laminectomy; decompression; ligamentum flavum</t>
  </si>
  <si>
    <t>Low ATTRv subtype weight; use only with neurologic/hereditary enrichment.</t>
  </si>
  <si>
    <t>Degenerative stenosis is common and the long isolated orthopedic prodrome is more ATTRwt-oriented.</t>
  </si>
  <si>
    <t>https://pmc.ncbi.nlm.nih.gov/articles/PMC10585157/</t>
  </si>
  <si>
    <t>V34</t>
  </si>
  <si>
    <t>ATOM_V34</t>
  </si>
  <si>
    <t>Severe GI weight loss that has been labeled anorexia/eating disorder without a convincing psychiatric explanation</t>
  </si>
  <si>
    <t>Gastrointestinal / systemic</t>
  </si>
  <si>
    <t>Can precede diagnosis in selected variants</t>
  </si>
  <si>
    <t>Eating-disorder label + objective GI dysmotility + neuropathy/autonomic/family clue</t>
  </si>
  <si>
    <t>No validated diagnostic pattern or weight-loss cutoff.</t>
  </si>
  <si>
    <t>Psychiatry/GI notes; weight trend</t>
  </si>
  <si>
    <t>anorexia nervosa; cachexia; early satiety; gastroparesis</t>
  </si>
  <si>
    <t>Low-weight variant-specific mimic row.</t>
  </si>
  <si>
    <t>Evidence is variant-specific and not adequate for a general ATTRv rule; true eating disorders and other GI disease are common.</t>
  </si>
  <si>
    <t>V35</t>
  </si>
  <si>
    <t>ATOM_V35</t>
  </si>
  <si>
    <t>Glaucoma or dry-eye syndrome without vitreous/pupillary or neurologic/family features</t>
  </si>
  <si>
    <t>Usually later / variant-dependent</t>
  </si>
  <si>
    <t>Glaucoma/dry eye + vitreous/pupillary signs + PN/family history</t>
  </si>
  <si>
    <t>No common-eye-disease threshold should be used.</t>
  </si>
  <si>
    <t>Ophthalmology problem list</t>
  </si>
  <si>
    <t>glaucoma; dry eye</t>
  </si>
  <si>
    <t>Low-weight cluster feature only.</t>
  </si>
  <si>
    <t>Very low specificity without vitreous opacities, pupillary abnormalities or systemic clues.</t>
  </si>
  <si>
    <t>V36</t>
  </si>
  <si>
    <t>ATOM_V36</t>
  </si>
  <si>
    <t>Declining serum prealbumin (circulating transthyretin)</t>
  </si>
  <si>
    <t>Laboratory / nutritional</t>
  </si>
  <si>
    <t>LABORATORY / GENERAL MEDICINE</t>
  </si>
  <si>
    <t>Unvalidated biomarker / do not use as trigger</t>
  </si>
  <si>
    <t>Very weak ATTRv support</t>
  </si>
  <si>
    <t>Variable</t>
  </si>
  <si>
    <t>Only interpret with much stronger hereditary/neurologic evidence</t>
  </si>
  <si>
    <t>Do not use NotebookLM's normal-range/decline concept as a diagnostic threshold.</t>
  </si>
  <si>
    <t>prealbumin; transthyretin; TTR level</t>
  </si>
  <si>
    <t>Do not use as a positive screening trigger; retain as a research-only low-priority feature.</t>
  </si>
  <si>
    <t>Malnutrition, inflammation and liver disease strongly affect prealbumin; low values are not ATTRv-specific.</t>
  </si>
  <si>
    <t>https://pmc.ncbi.nlm.nih.gov/articles/PMC11929585/</t>
  </si>
  <si>
    <t>V38</t>
  </si>
  <si>
    <t>RULE_V38</t>
  </si>
  <si>
    <t>Active autoimmune disease / positive autoantibodies with a convincing inflammatory/demyelinating neuropathy pattern</t>
  </si>
  <si>
    <t>Neurologic / autoimmune</t>
  </si>
  <si>
    <t>Negative / alternative-cause guardrail</t>
  </si>
  <si>
    <t>Alternative neuropathy more likely</t>
  </si>
  <si>
    <t>ALTERNATIVE_NEUROPATHY</t>
  </si>
  <si>
    <t>If inflammatory evidence is weak or immunotherapy fails, re-open ATTRv differential</t>
  </si>
  <si>
    <t>No autoantibody panel or titer excludes ATTRv.</t>
  </si>
  <si>
    <t>Problem list; serology; neurology notes</t>
  </si>
  <si>
    <t>autoimmune disease; positive ANA; demyelinating neuropathy</t>
  </si>
  <si>
    <t>Guardrail / uncertainty modifier.</t>
  </si>
  <si>
    <t>ATTRv can be misdiagnosed as CIDP and nonspecific autoantibodies may coexist; never use autoimmunity as an exclusion.</t>
  </si>
  <si>
    <t>V32</t>
  </si>
  <si>
    <t>RULE_V32</t>
  </si>
  <si>
    <t>Low-flow, low-gradient aortic stenosis</t>
  </si>
  <si>
    <t>Points toward ATTRwt</t>
  </si>
  <si>
    <t>Usually at cardiac presentation</t>
  </si>
  <si>
    <t>AS + neuropathy/family history can keep ATTRv in differential, but isolated AS favors ATTRwt</t>
  </si>
  <si>
    <t>Use standard AS definitions; no ATTRv-specific threshold.</t>
  </si>
  <si>
    <t>Echo report; cardiology</t>
  </si>
  <si>
    <t>low-flow low-gradient AS; paradoxical LFLG AS</t>
  </si>
  <si>
    <t>Guardrail: raises cardiac amyloid suspicion but down-weights ATTRv subtype assignment.</t>
  </si>
  <si>
    <t>Severe AS itself causes LVH/low flow; ATTRwt is the stronger TTR subtype association.</t>
  </si>
  <si>
    <t>https://pmc.ncbi.nlm.nih.gov/articles/PMC11255711/</t>
  </si>
  <si>
    <t>V41</t>
  </si>
  <si>
    <t>Older patient with isolated cardiac ATTR-like phenotype and long orthopedic prodrome but little/no neuropathy or dysautonomia</t>
  </si>
  <si>
    <t>Cardiac / musculoskeletal</t>
  </si>
  <si>
    <t>Before subtype confirmation</t>
  </si>
  <si>
    <t>Orthopedic years earlier + isolated HF/LVH/AF/conduction disease ? favor ATTRwt but keep ATTRv until genotyped</t>
  </si>
  <si>
    <t>Do not use age alone as a wild-type classifier.</t>
  </si>
  <si>
    <t>Derived from procedures + cardiology + neurology absence/notes</t>
  </si>
  <si>
    <t>orthopedic prodrome; isolated cardiac disease; no neuropathy</t>
  </si>
  <si>
    <t>Guardrail / comparative down-weight only.</t>
  </si>
  <si>
    <t>Pathogenic TTR variants remain present in a meaningful fraction of elderly ATTR-CM patients, so genetic testing is still necessary.</t>
  </si>
  <si>
    <t>V33</t>
  </si>
  <si>
    <t>RULE_V33</t>
  </si>
  <si>
    <t>Biceps tendon rupture, rotator cuff tear, trigger finger/tenosynovitis as an isolated orthopedic prodrome</t>
  </si>
  <si>
    <t>Often years before cardiac disease</t>
  </si>
  <si>
    <t>If accompanied by progressive PN/family/ocular/autonomic signs, keep ATTRv in differential</t>
  </si>
  <si>
    <t>No surgery-count threshold is validated.</t>
  </si>
  <si>
    <t>Orthopedic diagnoses; procedures</t>
  </si>
  <si>
    <t>biceps rupture; rotator cuff tear; trigger finger; tenosynovitis</t>
  </si>
  <si>
    <t>Use mainly as ATTR-general context / ATTRwt guardrail, not a strong ATTRv positive row.</t>
  </si>
  <si>
    <t>Age-related degenerative disease is common; isolated orthopedic pattern without neuropathy/autonomic clues points more toward ATTRwt.</t>
  </si>
  <si>
    <t>V39</t>
  </si>
  <si>
    <t>Nephrotic-range proteinuria, macroglossia/periorbital purpura, or strong plasma-cell-disorder context</t>
  </si>
  <si>
    <t>At systemic presentation</t>
  </si>
  <si>
    <t>Monoclonal context + nephrotic/mucocutaneous pattern ? urgent AL pathway</t>
  </si>
  <si>
    <t>Amyloid-specific FLC/IFE testing is second-stage and is not counted as a pre-test phenotype sign here.</t>
  </si>
  <si>
    <t>Hematology history; urine/albumin; exam notes</t>
  </si>
  <si>
    <t>MGUS; myeloma; nephrotic syndrome; macroglossia; purpura</t>
  </si>
  <si>
    <t>Guardrail: down-weight ATTRv and preserve urgent AL differential.</t>
  </si>
  <si>
    <t>MGUS can coexist with ATTR; no single monoclonal abnormality proves AL.</t>
  </si>
  <si>
    <t>https://pubmed.ncbi.nlm.nih.gov/42099096/</t>
  </si>
  <si>
    <t>V40</t>
  </si>
  <si>
    <t>Chronic inflammatory/autoinflammatory/infectious disease plus new proteinuria/nephrotic renal phenotype</t>
  </si>
  <si>
    <t>Inflammatory driver + persistent inflammation + renal protein loss ? AA-oriented evaluation</t>
  </si>
  <si>
    <t>No single inflammatory duration threshold is required.</t>
  </si>
  <si>
    <t>Problem list; labs</t>
  </si>
  <si>
    <t>FMF; RA; IBD; TB; proteinuria; CRP</t>
  </si>
  <si>
    <t>Guardrail: down-weight ATTRv and consider AA.</t>
  </si>
  <si>
    <t>Inflammatory disease can coexist with unrelated ATTRv; context is probabilistic.</t>
  </si>
  <si>
    <t>AA16</t>
  </si>
  <si>
    <t>RENAL_PERSISTENT_PROTEINURIA</t>
  </si>
  <si>
    <t>New or progressive persistent proteinuria</t>
  </si>
  <si>
    <t>Renal</t>
  </si>
  <si>
    <t>Core organ trigger</t>
  </si>
  <si>
    <t>Strongly supports AA in inflammatory context</t>
  </si>
  <si>
    <t>Often the clinical transition that prompts evaluation</t>
  </si>
  <si>
    <t>Credible inflammatory driver + persistent inflammatory burden + new/progressive proteinuria</t>
  </si>
  <si>
    <t>No universal AA screening cutoff. &gt;0.5 g/24 h was used as a kidney-biopsy referral threshold in one FMF study, not validated across all AA-risk populations.</t>
  </si>
  <si>
    <t>Urinalysis; nephrology; chemistry</t>
  </si>
  <si>
    <t>proteinuria; UPCR; UACR; 24-hour urine protein</t>
  </si>
  <si>
    <t>Core trigger; use trend and persistence rather than one measurement.</t>
  </si>
  <si>
    <t>AL and other renal amyloid types also cause proteinuria; diabetic, hypertensive, and primary glomerular disease are common alternatives.</t>
  </si>
  <si>
    <t>https://pubmed.ncbi.nlm.nih.gov/24128782/</t>
  </si>
  <si>
    <t>AA21</t>
  </si>
  <si>
    <t>RULE_AA21</t>
  </si>
  <si>
    <t>Renal phenotype disproportionate to or not fully explained by known diabetes, hypertension, medications, or other kidney disease</t>
  </si>
  <si>
    <t>Strongly supports AA when inflammation is present</t>
  </si>
  <si>
    <t>Before amyloid-specific testing</t>
  </si>
  <si>
    <t>AA-driving condition + persistent inflammation + proteinuria ± hypoalbuminemia ± eGFR decline that is new, rapidly progressive, or disproportionate</t>
  </si>
  <si>
    <t>Do NOT require 'no diabetes' or 'no hypertension'. Competing causes lower specificity but should not hard-exclude AA.</t>
  </si>
  <si>
    <t>Derived from diagnoses + labs + trend</t>
  </si>
  <si>
    <t>diabetes; hypertension; CKD etiology; proteinuria trend</t>
  </si>
  <si>
    <t>Core composite phenotype. Model competing causes as down-weights/uncertainty, not binary exclusions.</t>
  </si>
  <si>
    <t>Competing renal causes can coexist with AA; apparent 'explanation' by diabetes/HTN may delay recognition.</t>
  </si>
  <si>
    <t>AA02</t>
  </si>
  <si>
    <t>ATOM_AA02</t>
  </si>
  <si>
    <t>Familial Mediterranean fever (FMF) / periodic fever syndrome</t>
  </si>
  <si>
    <t>Autoinflammatory</t>
  </si>
  <si>
    <t>RHEUMATOLOGY / AUTOINFLAMMATORY</t>
  </si>
  <si>
    <t>INFLAMMATORY_DRIVER</t>
  </si>
  <si>
    <t>Strongly supports AA</t>
  </si>
  <si>
    <t>Often long before renal disease</t>
  </si>
  <si>
    <t>FMF + uncontrolled/subclinical inflammation + new persistent albuminuria/proteinuria</t>
  </si>
  <si>
    <t>No single FMF duration threshold. Surveillance should focus on inflammatory control and renal change.</t>
  </si>
  <si>
    <t>Problem list; rheumatology; genetics</t>
  </si>
  <si>
    <t>FMF; recurrent fever; serositis; erysipelas-like erythema; periodic fever</t>
  </si>
  <si>
    <t>Strong background-risk feature; never convert directly to an AA diagnosis.</t>
  </si>
  <si>
    <t>FMF does not make proteinuria synonymous with AA; non-amyloid kidney disease is common enough to require a renal differential.</t>
  </si>
  <si>
    <t>https://pubmed.ncbi.nlm.nih.gov/24369413/</t>
  </si>
  <si>
    <t>https://pubmed.ncbi.nlm.nih.gov/40234174/</t>
  </si>
  <si>
    <t>AA06</t>
  </si>
  <si>
    <t>ATOM_AA06</t>
  </si>
  <si>
    <t>Other chronic autoinflammatory syndromes (e.g., TRAPS, CAPS, MKD/HIDS)</t>
  </si>
  <si>
    <t>Usually years before organ manifestations</t>
  </si>
  <si>
    <t>Autoinflammatory diagnosis + persistent inflammatory activity + new albuminuria/proteinuria</t>
  </si>
  <si>
    <t>No universal duration threshold across syndromes.</t>
  </si>
  <si>
    <t>Problem list; rheumatology/genetics</t>
  </si>
  <si>
    <t>TRAPS; CAPS; MKD; HIDS; autoinflammatory syndrome</t>
  </si>
  <si>
    <t>Strong background feature; combine with renal transition.</t>
  </si>
  <si>
    <t>Rare diseases; coding may be incomplete; renal disease still needs independent evaluation.</t>
  </si>
  <si>
    <t>https://pmc.ncbi.nlm.nih.gov/articles/PMC11219434/</t>
  </si>
  <si>
    <t>AA08</t>
  </si>
  <si>
    <t>ATOM_AA08</t>
  </si>
  <si>
    <t>Chronic/active infection (e.g., tuberculosis, bronchiectasis, osteomyelitis, chronic suppurative disease)</t>
  </si>
  <si>
    <t>Infectious</t>
  </si>
  <si>
    <t>INFECTIOUS DISEASE</t>
  </si>
  <si>
    <t>Can precede renal disease by months to years</t>
  </si>
  <si>
    <t>Persistent infection + inflammatory burden + new proteinuria/edema/renal dysfunction</t>
  </si>
  <si>
    <t>Do not impose a minimum multi-year duration. The TB cohort is disease-specific and selected; its 2.25-year mean is not a general AA latency rule.</t>
  </si>
  <si>
    <t>Problem list; infectious disease; imaging/history</t>
  </si>
  <si>
    <t>tuberculosis; bronchiectasis; osteomyelitis; chronic infection; suppuration</t>
  </si>
  <si>
    <t>Strong risk context when chronicity/recurrence or ongoing inflammatory activity is documented.</t>
  </si>
  <si>
    <t>Acute/short-lived infection is not equivalent to a chronic amyloidogenic inflammatory state; CKD/proteinuria may have other infectious or drug-related causes.</t>
  </si>
  <si>
    <t>https://pubmed.ncbi.nlm.nih.gov/20440393/</t>
  </si>
  <si>
    <t>AA17</t>
  </si>
  <si>
    <t>RENAL_NEPHROTIC_PROTEINURIA</t>
  </si>
  <si>
    <t>Nephrotic-range proteinuria / nephrotic syndrome</t>
  </si>
  <si>
    <t>Strong organ trigger</t>
  </si>
  <si>
    <t>Supports AA</t>
  </si>
  <si>
    <t>Often at or near diagnosis; may represent later disease</t>
  </si>
  <si>
    <t>Nephrotic proteinuria + hypoalbuminemia/edema + chronic inflammatory driver</t>
  </si>
  <si>
    <t>Use standard nephrotic definitions (commonly ?3–3.5 g/day depending source); this threshold is not AA-specific.</t>
  </si>
  <si>
    <t>Urine labs; diagnosis</t>
  </si>
  <si>
    <t>nephrotic syndrome; UPCR; 24h urine protein</t>
  </si>
  <si>
    <t>Very strong organ trigger, but subtype must remain context-dependent.</t>
  </si>
  <si>
    <t>AL is also a major cause of nephrotic amyloid kidney disease; primary glomerular disease remains common.</t>
  </si>
  <si>
    <t>https://pubmed.ncbi.nlm.nih.gov/36502873/</t>
  </si>
  <si>
    <t>AA13</t>
  </si>
  <si>
    <t>ATOM_AA13</t>
  </si>
  <si>
    <t>Persistently elevated serum amyloid A (SAA), when measured for inflammatory disease monitoring</t>
  </si>
  <si>
    <t>Inflammatory laboratory</t>
  </si>
  <si>
    <t>INFLAMMATORY_ACTIVITY</t>
  </si>
  <si>
    <t>Inflammatory burden</t>
  </si>
  <si>
    <t>Supports AA strongly in context</t>
  </si>
  <si>
    <t>Before or after diagnosis depending why it was ordered</t>
  </si>
  <si>
    <t>High-risk disease + persistently elevated SAA + new renal protein loss</t>
  </si>
  <si>
    <t>IMPORTANT: &lt;10 mg/L is principally a treatment/control target in established disease/FM F guidance, not a validated universal pre-test diagnostic cutoff. Do not trigger AA solely at SAA &gt;10.</t>
  </si>
  <si>
    <t>Laboratory</t>
  </si>
  <si>
    <t>serum amyloid A; SAA</t>
  </si>
  <si>
    <t>High-value burden feature if already available; model as continuous/longitudinal rather than a binary &gt;10 threshold.</t>
  </si>
  <si>
    <t>SAA elevation does not demonstrate tissue amyloid and can be acutely elevated without AA.</t>
  </si>
  <si>
    <t>https://pubmed.ncbi.nlm.nih.gov/17554117/</t>
  </si>
  <si>
    <t>https://doi.org/10.1136/annrheumdis-2015-208690</t>
  </si>
  <si>
    <t>AA15</t>
  </si>
  <si>
    <t>ATOM_AA15</t>
  </si>
  <si>
    <t>New microalbuminuria / low-grade albuminuria</t>
  </si>
  <si>
    <t>Early organ warning</t>
  </si>
  <si>
    <t>Supports AA in high-risk context</t>
  </si>
  <si>
    <t>Potentially early, before nephrotic syndrome</t>
  </si>
  <si>
    <t>New/persistent albuminuria + active inflammatory driver + upward trend over time</t>
  </si>
  <si>
    <t>UACR 30–300 mg/g is the standard microalbuminuria range, not an AA-specific threshold.</t>
  </si>
  <si>
    <t>UACR; urine albumin; microalbumin</t>
  </si>
  <si>
    <t>Early warning feature; require persistence and inflammatory context.</t>
  </si>
  <si>
    <t>Diabetes, hypertension, obesity, exercise, infection, and many kidney diseases cause low-grade albuminuria.</t>
  </si>
  <si>
    <t>https://pubmed.ncbi.nlm.nih.gov/34684086/</t>
  </si>
  <si>
    <t>AA07</t>
  </si>
  <si>
    <t>ATOM_AA07</t>
  </si>
  <si>
    <t>Inflammatory bowel disease, especially aggressive/fistulizing Crohn disease</t>
  </si>
  <si>
    <t>Gastrointestinal / inflammatory</t>
  </si>
  <si>
    <t>Usually after years of active disease, but variable</t>
  </si>
  <si>
    <t>Fistulizing/abscess-forming Crohn + persistent inflammation + new proteinuria or renal dysfunction</t>
  </si>
  <si>
    <t>No validated 'fistula count' or disease-duration threshold. Treat anatomy/behavior as a risk modifier.</t>
  </si>
  <si>
    <t>Problem list; GI notes; procedures/surgery</t>
  </si>
  <si>
    <t>Crohn disease; fistula; perianal abscess; stricturing; bowel resection</t>
  </si>
  <si>
    <t>Use Crohn phenotype severity as a background modifier; renal transition remains the key trigger.</t>
  </si>
  <si>
    <t>IBD itself can cause diarrhea, hypoalbuminemia, anemia, and renal abnormalities; those findings are not automatically amyloid manifestations.</t>
  </si>
  <si>
    <t>https://pubmed.ncbi.nlm.nih.gov/27056947/</t>
  </si>
  <si>
    <t>https://pubmed.ncbi.nlm.nih.gov/23371008/</t>
  </si>
  <si>
    <t>AA05</t>
  </si>
  <si>
    <t>ATOM_AA05</t>
  </si>
  <si>
    <t>Delayed diagnosis, inadequate control, or poor colchicine adherence in FMF</t>
  </si>
  <si>
    <t>Autoinflammatory / longitudinal</t>
  </si>
  <si>
    <t>Inflammatory burden / preventable risk</t>
  </si>
  <si>
    <t>Supports AA within FMF</t>
  </si>
  <si>
    <t>Years before renal manifestations</t>
  </si>
  <si>
    <t>FMF + recurrent attacks/persistent SAA or CRP + delayed/inadequate colchicine treatment + new renal signal</t>
  </si>
  <si>
    <t>No universal adherence percentage or attack-frequency threshold should be hard-coded from retrospective studies.</t>
  </si>
  <si>
    <t>Medication history; rheumatology notes; pharmacy if available</t>
  </si>
  <si>
    <t>colchicine; missed doses; nonadherence; resistant; recurrent attacks</t>
  </si>
  <si>
    <t>Longitudinal risk modifier; use only with evidence of continued inflammatory activity.</t>
  </si>
  <si>
    <t>Medication lists do not prove adherence; 'colchicine resistant' disease can actually reflect non-adherence.</t>
  </si>
  <si>
    <t>AA20</t>
  </si>
  <si>
    <t>RENAL_EGFR_DECLINE</t>
  </si>
  <si>
    <t>Rising creatinine / falling eGFR / kidney failure</t>
  </si>
  <si>
    <t>Organ red flag</t>
  </si>
  <si>
    <t>Supports AA in context</t>
  </si>
  <si>
    <t>Often later than proteinuria, but may be present at detection</t>
  </si>
  <si>
    <t>Progressive proteinuria + falling eGFR + sustained inflammatory burden</t>
  </si>
  <si>
    <t>No AA-specific eGFR threshold; trend and unexplained/disproportionate decline matter.</t>
  </si>
  <si>
    <t>Chemistry; problem list</t>
  </si>
  <si>
    <t>creatinine; eGFR; CKD; renal failure</t>
  </si>
  <si>
    <t>Strong contextual feature; not subtype-specific alone.</t>
  </si>
  <si>
    <t>Diabetes, hypertension, nephrotoxins, obstruction, sepsis, and other nephropathies commonly cause eGFR decline.</t>
  </si>
  <si>
    <t>https://pubmed.ncbi.nlm.nih.gov/30101921/</t>
  </si>
  <si>
    <t>AA09</t>
  </si>
  <si>
    <t>ATOM_AA09</t>
  </si>
  <si>
    <t>Recurrent skin/soft-tissue infection, chronic wounds, or repeated abscesses</t>
  </si>
  <si>
    <t>Infectious / dermatologic</t>
  </si>
  <si>
    <t>Usually recurrent over time</t>
  </si>
  <si>
    <t>Repeated abscess/cellulitis/chronic ulcer + persistent inflammation + new proteinuria</t>
  </si>
  <si>
    <t>No validated number of infections/ED visits. Use recurrence/chronicity qualitatively or derive candidate thresholds for validation.</t>
  </si>
  <si>
    <t>ED; wound care; dermatology; problem list</t>
  </si>
  <si>
    <t>abscess; cellulitis; chronic ulcer; wound infection</t>
  </si>
  <si>
    <t>Use the infection burden, not the social label, as the feature.</t>
  </si>
  <si>
    <t>Injection-drug-use status itself is not AA evidence; many SSTIs are isolated and self-limited.</t>
  </si>
  <si>
    <t>https://pubmed.ncbi.nlm.nih.gov/29697879/</t>
  </si>
  <si>
    <t>AA14</t>
  </si>
  <si>
    <t>ATOM_AA14</t>
  </si>
  <si>
    <t>Recurrent inflammatory flares or persistently uncontrolled precursor disease</t>
  </si>
  <si>
    <t>Inflammatory / longitudinal</t>
  </si>
  <si>
    <t>Years before organ damage</t>
  </si>
  <si>
    <t>Repeated flares + persistent CRP/SAA + new renal signal</t>
  </si>
  <si>
    <t>No validated universal number of flares, steroid bursts, or biologic changes.</t>
  </si>
  <si>
    <t>Notes; medications; labs</t>
  </si>
  <si>
    <t>flare; uncontrolled; steroid burst; biologic escalation; resistant disease</t>
  </si>
  <si>
    <t>Longitudinal modifier; derive candidate burden features for validation rather than a hard rule.</t>
  </si>
  <si>
    <t>Flare coding can be inconsistent and treatment escalation may reflect physician preference rather than severity.</t>
  </si>
  <si>
    <t>AA01</t>
  </si>
  <si>
    <t>ATOM_AA01</t>
  </si>
  <si>
    <t>Known chronic inflammatory joint disease (RA, spondyloarthritis, other persistent inflammatory arthritis)</t>
  </si>
  <si>
    <t>Inflammatory / rheumatologic</t>
  </si>
  <si>
    <t>Inflammatory joint disease + persistent inflammatory activity + new albuminuria/proteinuria</t>
  </si>
  <si>
    <t>No universal disease-duration, deformity, or Steinbrocker threshold is validated for current pre-test screening.</t>
  </si>
  <si>
    <t>Problem list; rheumatology notes; medication history</t>
  </si>
  <si>
    <t>rheumatoid arthritis; ankylosing spondylitis; inflammatory arthritis; biologic escalation</t>
  </si>
  <si>
    <t>Context feature only; raise weight when ongoing inflammatory burden and a new renal phenotype coexist.</t>
  </si>
  <si>
    <t>RA/SpA are common and most patients never develop AA. Renal disease may be diabetic, hypertensive, drug-related, glomerular, or AL.</t>
  </si>
  <si>
    <t>https://pubmed.ncbi.nlm.nih.gov/40516176/</t>
  </si>
  <si>
    <t>AA19</t>
  </si>
  <si>
    <t>ATOM_AA19</t>
  </si>
  <si>
    <t>Peripheral edema / anasarca</t>
  </si>
  <si>
    <t>Renal / systemic</t>
  </si>
  <si>
    <t>Renal consequence</t>
  </si>
  <si>
    <t>Often around renal presentation</t>
  </si>
  <si>
    <t>Edema + proteinuria + hypoalbuminemia + inflammatory driver</t>
  </si>
  <si>
    <t>No specific edema grade is validated for AA.</t>
  </si>
  <si>
    <t>Physical exam; notes; diagnosis</t>
  </si>
  <si>
    <t>edema; leg swelling; anasarca</t>
  </si>
  <si>
    <t>Supporting renal-cluster feature.</t>
  </si>
  <si>
    <t>Heart failure, liver disease, venous insufficiency, drugs, and malnutrition are common causes.</t>
  </si>
  <si>
    <t>AA10</t>
  </si>
  <si>
    <t>ATOM_AA10</t>
  </si>
  <si>
    <t>Selected inflammatory neoplastic drivers (especially Castleman disease; also RCC and some other tumors)</t>
  </si>
  <si>
    <t>Oncology / inflammatory</t>
  </si>
  <si>
    <t>ONCOLOGY</t>
  </si>
  <si>
    <t>Concurrent or preceding renal phenotype</t>
  </si>
  <si>
    <t>Selected inflammatory tumor + persistently elevated inflammatory markers + new renal protein loss</t>
  </si>
  <si>
    <t>No broad 'any cancer' rule. Use a curated list of literature-supported tumor drivers.</t>
  </si>
  <si>
    <t>Oncology; pathology history; problem list</t>
  </si>
  <si>
    <t>Castleman disease; renal cell carcinoma; RCC; inflammatory tumor</t>
  </si>
  <si>
    <t>Moderate background feature; stronger for Castleman than for nonspecific malignancy.</t>
  </si>
  <si>
    <t>Most cancers are not strong AA drivers; cancer can cause proteinuria, CKD, weight loss, and inflammation by many other mechanisms.</t>
  </si>
  <si>
    <t>https://pubmed.ncbi.nlm.nih.gov/11937647/</t>
  </si>
  <si>
    <t>AA18</t>
  </si>
  <si>
    <t>RENAL_HYPOALBUMINEMIA_PROTEIN_LOSS</t>
  </si>
  <si>
    <t>Hypoalbuminemia accompanying renal protein loss</t>
  </si>
  <si>
    <t>Usually with substantial proteinuria</t>
  </si>
  <si>
    <t>Proteinuria + falling serum albumin + edema + inflammatory driver</t>
  </si>
  <si>
    <t>No AA-specific albumin cutoff. Interpret as a trajectory and alongside urine protein.</t>
  </si>
  <si>
    <t>Chemistry</t>
  </si>
  <si>
    <t>serum albumin; hypoalbuminemia</t>
  </si>
  <si>
    <t>Inflammation, malnutrition, liver disease, protein-losing enteropathy, and IBD can lower albumin without AA.</t>
  </si>
  <si>
    <t>AA04</t>
  </si>
  <si>
    <t>ATOM_AA04</t>
  </si>
  <si>
    <t>Family history of AA amyloidosis or end-stage kidney disease in FMF</t>
  </si>
  <si>
    <t>Family / autoinflammatory</t>
  </si>
  <si>
    <t>Susceptibility modifier</t>
  </si>
  <si>
    <t>Before organ manifestations</t>
  </si>
  <si>
    <t>FMF + family history of AA/ESRD + inadequate inflammatory control + new albuminuria</t>
  </si>
  <si>
    <t>No validated quantitative family-history score.</t>
  </si>
  <si>
    <t>Family history; rheumatology/genetics notes</t>
  </si>
  <si>
    <t>family history amyloidosis; renal failure; dialysis; FMF</t>
  </si>
  <si>
    <t>Moderate risk modifier; useful for prioritization but not sufficient alone.</t>
  </si>
  <si>
    <t>Family history may be incomplete or nonspecific; ESRD can have many causes.</t>
  </si>
  <si>
    <t>https://pubmed.ncbi.nlm.nih.gov/22037353/</t>
  </si>
  <si>
    <t>AA03</t>
  </si>
  <si>
    <t>ATOM_AA03</t>
  </si>
  <si>
    <t>Known high-risk MEFV genotype, especially M694V homozygosity, in a patient with FMF</t>
  </si>
  <si>
    <t>Genetic / autoinflammatory</t>
  </si>
  <si>
    <t>Known before renal disease if FMF genotyping already performed</t>
  </si>
  <si>
    <t>FMF + M694V/M694V + persistent inflammation or poor disease control + emerging proteinuria</t>
  </si>
  <si>
    <t>Risk modifier, not a diagnostic threshold. Do not order MEFV testing solely as an AA screen if FMF is not otherwise suspected.</t>
  </si>
  <si>
    <t>Genetics; rheumatology</t>
  </si>
  <si>
    <t>MEFV; M694V/M694V; exon 10 variant</t>
  </si>
  <si>
    <t>Optional risk modifier when the result already exists; do not give it the same weight as a renal transition.</t>
  </si>
  <si>
    <t>Genotype alone does not prove amyloid deposition; different ethnic cohorts and studies have shown variable effect sizes.</t>
  </si>
  <si>
    <t>AA12</t>
  </si>
  <si>
    <t>ATOM_AA12</t>
  </si>
  <si>
    <t>Persistent/recurrent elevation of CRP or ESR</t>
  </si>
  <si>
    <t>Precedes organ manifestations if precursor disease remains active</t>
  </si>
  <si>
    <t>High-risk precursor condition + repeated inflammatory-marker elevation + emerging albuminuria/proteinuria</t>
  </si>
  <si>
    <t>No validated universal rule such as '2 values &gt;3 months apart'. Treat persistence windows as research-engineering parameters to validate.</t>
  </si>
  <si>
    <t>CRP; ESR; hsCRP</t>
  </si>
  <si>
    <t>Use longitudinal trends and duration, not a single high value.</t>
  </si>
  <si>
    <t>CRP/ESR are nonspecific and can reflect transient infection, obesity, malignancy, or other inflammatory states.</t>
  </si>
  <si>
    <t>https://pubmed.ncbi.nlm.nih.gov/25376380/</t>
  </si>
  <si>
    <t>AA22</t>
  </si>
  <si>
    <t>ATOM_AA22</t>
  </si>
  <si>
    <t>Intractable or persistent diarrhea not fully explained by active IBD/infection</t>
  </si>
  <si>
    <t>Gastrointestinal</t>
  </si>
  <si>
    <t>GI_HEPATIC</t>
  </si>
  <si>
    <t>Additional organ clue</t>
  </si>
  <si>
    <t>Supports AA modestly</t>
  </si>
  <si>
    <t>Often around established systemic disease</t>
  </si>
  <si>
    <t>Persistent diarrhea + renal AA phenotype + inflammatory driver</t>
  </si>
  <si>
    <t>No validated diarrhea duration/frequency threshold for AA screening.</t>
  </si>
  <si>
    <t>chronic diarrhea; intractable diarrhea; watery diarrhea</t>
  </si>
  <si>
    <t>Secondary supporting feature; do not trigger on diarrhea alone.</t>
  </si>
  <si>
    <t>IBD, infection, medications, autonomic dysfunction, AL, and ATTRv can all cause chronic GI symptoms.</t>
  </si>
  <si>
    <t>AA11</t>
  </si>
  <si>
    <t>ATOM_AA11</t>
  </si>
  <si>
    <t>Severe obesity in otherwise idiopathic AA-risk context</t>
  </si>
  <si>
    <t>Metabolic / inflammatory</t>
  </si>
  <si>
    <t>Susceptibility context</t>
  </si>
  <si>
    <t>Weakly supports AA</t>
  </si>
  <si>
    <t>Concurrent</t>
  </si>
  <si>
    <t>Severe obesity + unexplained persistent inflammation + proteinuria after common causes are assessed</t>
  </si>
  <si>
    <t>No validated BMI threshold for AA screening beyond the usual obesity definition; do not use BMI alone.</t>
  </si>
  <si>
    <t>Vitals; problem list</t>
  </si>
  <si>
    <t>BMI; obesity; morbid obesity</t>
  </si>
  <si>
    <t>Very low-weight context modifier only; never a trigger by itself.</t>
  </si>
  <si>
    <t>Obesity is extremely common and strongly linked to diabetes, hypertension, obesity-related glomerulopathy, and CKD.</t>
  </si>
  <si>
    <t>AA23</t>
  </si>
  <si>
    <t>ATOM_AA23</t>
  </si>
  <si>
    <t>Melena / GI bleeding / paralytic ileus</t>
  </si>
  <si>
    <t>Usually around established systemic disease</t>
  </si>
  <si>
    <t>Only meaningful with strong renal + inflammatory AA phenotype</t>
  </si>
  <si>
    <t>No useful AA-specific threshold.</t>
  </si>
  <si>
    <t>Context only</t>
  </si>
  <si>
    <t>GI notes; diagnosis</t>
  </si>
  <si>
    <t>melena; GI bleed; ileus</t>
  </si>
  <si>
    <t>Very low-weight supporting feature.</t>
  </si>
  <si>
    <t>Very nonspecific; common GI disorders and medications are more likely.</t>
  </si>
  <si>
    <t>AA24</t>
  </si>
  <si>
    <t>ATOM_AA24</t>
  </si>
  <si>
    <t>Hypothyroidism / thyroid enlargement or goiter</t>
  </si>
  <si>
    <t>Endocrine</t>
  </si>
  <si>
    <t>Usually near established systemic disease</t>
  </si>
  <si>
    <t>Only with strong inflammatory + renal AA phenotype</t>
  </si>
  <si>
    <t>No AA-specific TSH or thyroid-size threshold.</t>
  </si>
  <si>
    <t>Problem list; TSH; exam</t>
  </si>
  <si>
    <t>hypothyroidism; goiter; thyroid enlargement</t>
  </si>
  <si>
    <t>Very low-weight support only.</t>
  </si>
  <si>
    <t>Hypothyroidism is common and usually unrelated to amyloid.</t>
  </si>
  <si>
    <t>AA26</t>
  </si>
  <si>
    <t>RULE_AA26</t>
  </si>
  <si>
    <t>FMF + proteinuria with possible non-amyloid kidney disease (NAKD)</t>
  </si>
  <si>
    <t>Renal / autoinflammatory</t>
  </si>
  <si>
    <t>AA remains possible, but proteinuria does not prove it</t>
  </si>
  <si>
    <t>ALTERNATIVE_RENAL_PROCESS</t>
  </si>
  <si>
    <t>At renal evaluation</t>
  </si>
  <si>
    <t>FMF + proteinuria -&gt; AA suspicion, but maintain 'renal cause unresolved' if atypical features or competing renal diagnoses exist</t>
  </si>
  <si>
    <t>The &gt;0.5 g/day value is the inclusion/biopsy threshold of this study, not a universal AA detection cutoff.</t>
  </si>
  <si>
    <t>Nephrology; urine labs; serology</t>
  </si>
  <si>
    <t>proteinuria; glomerulonephritis; IgA nephropathy; FSGS; membranous nephropathy</t>
  </si>
  <si>
    <t>Hard guardrail against auto-diagnosis; preserve uncertainty until definitive typing.</t>
  </si>
  <si>
    <t>Non-amyloid glomerulopathies can coexist with FMF; phenotype cannot replace tissue typing when clinically required.</t>
  </si>
  <si>
    <t>AA25</t>
  </si>
  <si>
    <t>RULE_AA25</t>
  </si>
  <si>
    <t>Heart failure / conduction disease / cardiac imaging abnormalities in a chronic inflammatory patient</t>
  </si>
  <si>
    <t>Amyloidosis-general clue / AA weak clue</t>
  </si>
  <si>
    <t>Very weak AA support; consider AL/ATTR</t>
  </si>
  <si>
    <t>AL_OR_ATTR</t>
  </si>
  <si>
    <t>Usually at systemic disease stage</t>
  </si>
  <si>
    <t>Cardiac finding + dominant inflammatory/renal AA pattern; otherwise route primarily to AL/ATTR differential</t>
  </si>
  <si>
    <t>No AA-specific echo/ECG threshold should be used.</t>
  </si>
  <si>
    <t>Cardiology; ECG; echo</t>
  </si>
  <si>
    <t>HF; conduction block; LVH; diastolic dysfunction</t>
  </si>
  <si>
    <t>Low AA subtype weight. Cardiac phenotype alone should not create an AA flag.</t>
  </si>
  <si>
    <t>AL and ATTR are much more important cardiac amyloid subtypes; ordinary cardiac disease is common.</t>
  </si>
  <si>
    <t>AA27</t>
  </si>
  <si>
    <t>RULE_AA27</t>
  </si>
  <si>
    <t>Active urinary sediment / hematuria or leukocyturia in an AA-risk patient</t>
  </si>
  <si>
    <t>Guardrail / alternative renal-process clue</t>
  </si>
  <si>
    <t>Does not exclude AA; lowers specificity</t>
  </si>
  <si>
    <t>AA-risk context + proteinuria + active sediment -&gt; keep AA possible but prioritize nephrology differential/typing</t>
  </si>
  <si>
    <t>No validated sediment cutoff for AA; do not use hematuria as either a hard rule-in or rule-out.</t>
  </si>
  <si>
    <t>Urinalysis; nephrology</t>
  </si>
  <si>
    <t>hematuria; RBC/HPF; pyuria; leukocyturia; casts</t>
  </si>
  <si>
    <t>Uncertainty/guardrail feature, not a positive AA sign.</t>
  </si>
  <si>
    <t>Active sediment may favor glomerulonephritis, infection, stones, or other renal disease and therefore should reduce certainty.</t>
  </si>
  <si>
    <t>AA30</t>
  </si>
  <si>
    <t>RULE_AA30</t>
  </si>
  <si>
    <t>No identified chronic inflammatory/infectious driver despite adequate longitudinal history</t>
  </si>
  <si>
    <t>Global context</t>
  </si>
  <si>
    <t>Negative / uncertainty modifier</t>
  </si>
  <si>
    <t>Weakly argues against AA, but does not exclude it</t>
  </si>
  <si>
    <t>AA_UNCERTAIN_NO_DRIVER</t>
  </si>
  <si>
    <t>No driver + strong renal amyloid phenotype -&gt; keep AA on broad differential but prioritize search for occult inflammation and AL/other renal causes</t>
  </si>
  <si>
    <t>Absence of a known driver is a probabilistic down-weight, never a hard exclusion.</t>
  </si>
  <si>
    <t>Longitudinal problem list + labs + notes</t>
  </si>
  <si>
    <t>no chronic inflammation; idiopathic; unexplained proteinuria</t>
  </si>
  <si>
    <t>Negative modifier only.</t>
  </si>
  <si>
    <t>Occult infection, autoinflammatory disease, malignancy, or inadequately coded inflammatory disease may be missed.</t>
  </si>
  <si>
    <t>AA28</t>
  </si>
  <si>
    <t>RULE_AA28</t>
  </si>
  <si>
    <t>Known monoclonal gammopathy / plasma-cell dyscrasia in a patient with proteinuria or multisystem amyloid-like features</t>
  </si>
  <si>
    <t>Hematology / renal</t>
  </si>
  <si>
    <t>Raises AL concern; AA remains possible</t>
  </si>
  <si>
    <t>At or before renal presentation</t>
  </si>
  <si>
    <t>Monoclonal context + nephrotic proteinuria/cardiac or multisystem disease -&gt; ensure AL work-up while retaining AA if inflammatory evidence is strong</t>
  </si>
  <si>
    <t>No monoclonal finding should be used as an automatic AA exclusion without amyloid typing.</t>
  </si>
  <si>
    <t>Yes if already known</t>
  </si>
  <si>
    <t>Problem list; hematology; labs</t>
  </si>
  <si>
    <t>MGUS; myeloma; M-protein; plasma cell dyscrasia</t>
  </si>
  <si>
    <t>Subtype guardrail: route to AL evaluation / mark subtype unresolved rather than simply down-weighting AA to zero.</t>
  </si>
  <si>
    <t>Monoclonal gammopathy is not synonymous with AL; it also occurs incidentally, especially with age.</t>
  </si>
  <si>
    <t>AA29</t>
  </si>
  <si>
    <t>RULE_AA29</t>
  </si>
  <si>
    <t>Classic ATTR orthopedic prodrome (bilateral/recurrent CTS, lumbar spinal stenosis, distal biceps rupture) followed by cardiac disease</t>
  </si>
  <si>
    <t>Musculoskeletal / cardiac</t>
  </si>
  <si>
    <t>Points toward ATTR rather than AA</t>
  </si>
  <si>
    <t>ATTR</t>
  </si>
  <si>
    <t>Often 5–15+ years before cardiac diagnosis</t>
  </si>
  <si>
    <t>Orthopedic prodrome + HF/LVH -&gt; ATTR-oriented differential unless a dominant AA inflammatory + renal phenotype is present</t>
  </si>
  <si>
    <t>No single orthopedic event is sufficient; use trajectory/cluster.</t>
  </si>
  <si>
    <t>Procedures; orthopedics; cardiology</t>
  </si>
  <si>
    <t>carpal tunnel release; bilateral CTS; lumbar stenosis; biceps rupture</t>
  </si>
  <si>
    <t>AA counter-evidence / ATTR-positive pattern.</t>
  </si>
  <si>
    <t>CTS/stenosis are common degenerative disorders; they are comparative weights, not exclusions.</t>
  </si>
  <si>
    <t>https://pubmed.ncbi.nlm.nih.gov/38130034/</t>
  </si>
  <si>
    <t>AL03</t>
  </si>
  <si>
    <t>Strongly supports AL</t>
  </si>
  <si>
    <t>Can precede diagnosis; often becomes the renal trigger</t>
  </si>
  <si>
    <t>New/progressive proteinuria + MGUS/SMM/MM or another unexplained organ system</t>
  </si>
  <si>
    <t>?0.5 g/24 h, predominantly albumin, is a consensus AL renal-involvement criterion—not a validated universal pre-test screening cutoff.</t>
  </si>
  <si>
    <t>proteinuria; UACR; UPCR; 24h urine protein</t>
  </si>
  <si>
    <t>Core trigger; prioritize persistence and trend.</t>
  </si>
  <si>
    <t>AA and non-amyloid kidney disease also cause proteinuria; diabetes/HTN may coexist.</t>
  </si>
  <si>
    <t>https://pmc.ncbi.nlm.nih.gov/articles/PMC13425172/</t>
  </si>
  <si>
    <t>AL04</t>
  </si>
  <si>
    <t>Usually near diagnosis; often later than low-grade proteinuria</t>
  </si>
  <si>
    <t>Nephrotic proteinuria + monoclonal/plasma-cell context</t>
  </si>
  <si>
    <t>Use standard nephrotic definitions (~3–3.5 g/day depending source); threshold is not AL-specific.</t>
  </si>
  <si>
    <t>Urine labs; nephrology</t>
  </si>
  <si>
    <t>Tier-1 trigger; keep AA differential.</t>
  </si>
  <si>
    <t>AA and primary glomerular disease remain major alternatives.</t>
  </si>
  <si>
    <t>https://pubmed.ncbi.nlm.nih.gov/38541968/</t>
  </si>
  <si>
    <t>AL21</t>
  </si>
  <si>
    <t>RULE_AL21</t>
  </si>
  <si>
    <t>Multisystem accumulation across ?3 organ-system domains</t>
  </si>
  <si>
    <t>Core composite discriminator / cluster</t>
  </si>
  <si>
    <t>Accumulates over a multi-year prodrome</t>
  </si>
  <si>
    <t>Protein-losing renal phenotype + cardiac and/or neurologic/GI/systemic signs</t>
  </si>
  <si>
    <t>?3 systems is descriptive, not a hard screening gate.</t>
  </si>
  <si>
    <t>Derived longitudinal EHR</t>
  </si>
  <si>
    <t>renal + cardiac + neurologic/GI/hepatic domains</t>
  </si>
  <si>
    <t>Core temporal cluster.</t>
  </si>
  <si>
    <t>ATTRv is also multisystem; ATTRwt is more cardiac/orthopedic dominant.</t>
  </si>
  <si>
    <t>https://pubmed.ncbi.nlm.nih.gov/34137077/</t>
  </si>
  <si>
    <t>AL26</t>
  </si>
  <si>
    <t>RULE_AL26</t>
  </si>
  <si>
    <t>Monoclonal/plasma-cell precursor state PLUS new unexplained organ dysfunction</t>
  </si>
  <si>
    <t>Multisystem / hematology</t>
  </si>
  <si>
    <t>Clone + new proteinuria/nephrotic syndrome, cardiac injury, neuropathy or multisystem change</t>
  </si>
  <si>
    <t>No validated single composite threshold; literature-backed EHR synthesis feature.</t>
  </si>
  <si>
    <t>Derived across hematology + organ tables</t>
  </si>
  <si>
    <t>MGUS/SMM/MM + new organ dysfunction</t>
  </si>
  <si>
    <t>Core composite phenotype.</t>
  </si>
  <si>
    <t>Incidental MGUS is common in ATTR; subtype remains unresolved until appropriate work-up.</t>
  </si>
  <si>
    <t>AL07</t>
  </si>
  <si>
    <t>ATOM_AL07</t>
  </si>
  <si>
    <t>Macroglossia / acquired tongue enlargement</t>
  </si>
  <si>
    <t>Mucocutaneous / oral</t>
  </si>
  <si>
    <t>MUCOSAL / DERMATOLOGY / ORAL</t>
  </si>
  <si>
    <t>MUCOSAL_CUTANEOUS</t>
  </si>
  <si>
    <t>Subtype-specific clue</t>
  </si>
  <si>
    <t>Usually established disease; low sensitivity</t>
  </si>
  <si>
    <t>Macroglossia + purpura, proteinuria, clone or cardiac disease</t>
  </si>
  <si>
    <t>Clinical finding; no numeric threshold. Tongue biopsy is not a screening requirement.</t>
  </si>
  <si>
    <t>General exam; ENT/dental; hematology</t>
  </si>
  <si>
    <t>macroglossia; enlarged tongue</t>
  </si>
  <si>
    <t>Rare; not exclusive to AL; other causes exist.</t>
  </si>
  <si>
    <t>https://pubmed.ncbi.nlm.nih.gov/32340017/</t>
  </si>
  <si>
    <t>https://pubmed.ncbi.nlm.nih.gov/30770096/</t>
  </si>
  <si>
    <t>AL08</t>
  </si>
  <si>
    <t>ATOM_AL08</t>
  </si>
  <si>
    <t>Periorbital / pinch purpura or spontaneous unexplained ecchymosis</t>
  </si>
  <si>
    <t>Mucocutaneous</t>
  </si>
  <si>
    <t>Usually around systemic disease</t>
  </si>
  <si>
    <t>Purpura + macroglossia, nephrotic phenotype or plasma-cell context</t>
  </si>
  <si>
    <t>No validated numeric threshold.</t>
  </si>
  <si>
    <t>Physical exam; dermatology/hematology</t>
  </si>
  <si>
    <t>periorbital purpura; pinch purpura; ecchymosis</t>
  </si>
  <si>
    <t>Anticoagulation, thrombocytopenia, senile/steroid purpura and trauma mimic.</t>
  </si>
  <si>
    <t>https://pubmed.ncbi.nlm.nih.gov/41603599/</t>
  </si>
  <si>
    <t>AL01</t>
  </si>
  <si>
    <t>ATOM_AL01</t>
  </si>
  <si>
    <t>Known plasma-cell dyscrasia / smoldering myeloma / multiple myeloma</t>
  </si>
  <si>
    <t>Hematology</t>
  </si>
  <si>
    <t>Can precede organ manifestations by years</t>
  </si>
  <si>
    <t>Plasma-cell disorder + new renal/cardiac/neurologic/GI/hepatic abnormality</t>
  </si>
  <si>
    <t>Tufts ?-MGUS/SMM dFLC &gt;23 mg/L + IGVL/cytogenetic enrichment is study-specific, not a universal criterion.</t>
  </si>
  <si>
    <t>Problem list; hematology/oncology</t>
  </si>
  <si>
    <t>multiple myeloma; SMM; plasma cell dyscrasia</t>
  </si>
  <si>
    <t>Strong background-risk feature; combine with organ signal.</t>
  </si>
  <si>
    <t>Most plasma-cell disorders do not cause AL; ATTR may coexist with monoclonal gammopathy.</t>
  </si>
  <si>
    <t>https://pubmed.ncbi.nlm.nih.gov/40565890/</t>
  </si>
  <si>
    <t>AL27</t>
  </si>
  <si>
    <t>RULE_AL27</t>
  </si>
  <si>
    <t>Pre-existing abnormal monoclonal studies from MGUS/myeloma follow-up + new organ signal</t>
  </si>
  <si>
    <t>Hematology / lab</t>
  </si>
  <si>
    <t>Background risk / escalation clue</t>
  </si>
  <si>
    <t>Supports AL, guardrail required</t>
  </si>
  <si>
    <t>Can precede amyloid-specific work-up</t>
  </si>
  <si>
    <t>Prior monoclonal abnormality + new proteinuria/HF/neuropathy/GI/systemic change</t>
  </si>
  <si>
    <t>Once AL is suspected, ASH recommends SIFE+UIFE+sFLC. Use age/eGFR/assay-aware FLC ranges (e.g., 0.48–3.38 at eGFR 30–44; 0.54–3.30 at eGFR &lt;30 in iStopMM).</t>
  </si>
  <si>
    <t>Yes, if pre-existing</t>
  </si>
  <si>
    <t>Hematology labs</t>
  </si>
  <si>
    <t>SIFE; UIFE; sFLC; kappa/lambda ratio</t>
  </si>
  <si>
    <t>Use as pre-test context only if testing existed independently of amyloid suspicion.</t>
  </si>
  <si>
    <t>CKD can distort FLC ratios; ATTR may coexist with monoclonal gammopathy.</t>
  </si>
  <si>
    <t>https://pmc.ncbi.nlm.nih.gov/articles/PMC9470548/</t>
  </si>
  <si>
    <t>AL05</t>
  </si>
  <si>
    <t>Hypoalbuminemia with edema / anasarca</t>
  </si>
  <si>
    <t>Renal consequence / supporting cluster</t>
  </si>
  <si>
    <t>Supports AL</t>
  </si>
  <si>
    <t>Often near renal presentation</t>
  </si>
  <si>
    <t>Proteinuria + falling albumin + edema</t>
  </si>
  <si>
    <t>Albumin &lt;3.5 g/dL is common clinical hypoalbuminemia, not an AL-specific cutoff.</t>
  </si>
  <si>
    <t>Chemistry; exam</t>
  </si>
  <si>
    <t>serum albumin; edema; anasarca</t>
  </si>
  <si>
    <t>Reinforcing renal feature, not standalone.</t>
  </si>
  <si>
    <t>HF, cirrhosis, malnutrition, protein-losing enteropathy and AA nephrosis mimic.</t>
  </si>
  <si>
    <t>AL02</t>
  </si>
  <si>
    <t>Monoclonal gammopathy of undetermined significance (MGUS) under surveillance</t>
  </si>
  <si>
    <t>Can precede diagnosis by years</t>
  </si>
  <si>
    <t>MGUS + new proteinuria/nephrotic syndrome or multisystem disease</t>
  </si>
  <si>
    <t>If SIFE/UIFE/sFLC are ordered because amyloid is suspected, they are second-stage tests; pre-existing surveillance results may be used as prior context.</t>
  </si>
  <si>
    <t>Problem list; hematology notes; prior labs</t>
  </si>
  <si>
    <t>MGUS; monoclonal gammopathy; paraproteinemia</t>
  </si>
  <si>
    <t>High-value context with explicit ATTR guardrail.</t>
  </si>
  <si>
    <t>Incidental MGUS is common in ATTR and with aging.</t>
  </si>
  <si>
    <t>AL17</t>
  </si>
  <si>
    <t>ATOM_AL17</t>
  </si>
  <si>
    <t>Disproportionate NT-proBNP/BNP or troponin elevation</t>
  </si>
  <si>
    <t>Cardiac lab</t>
  </si>
  <si>
    <t>Cardiac organ red flag</t>
  </si>
  <si>
    <t>Supports AL modestly</t>
  </si>
  <si>
    <t>May precede overt HF, especially in monitored clone populations</t>
  </si>
  <si>
    <t>Biomarker rise + monoclonal context or renal/multisystem AL pattern</t>
  </si>
  <si>
    <t>&gt;332 ng/L is an organ-involvement criterion with exclusions; Mayo staging cutoffs are prognostic, not pre-test diagnostic thresholds.</t>
  </si>
  <si>
    <t>Context-dependent</t>
  </si>
  <si>
    <t>Labs; cardiology</t>
  </si>
  <si>
    <t>NT-proBNP; BNP; troponin</t>
  </si>
  <si>
    <t>Moderate support, strongest in clonal-risk patients.</t>
  </si>
  <si>
    <t>Renal dysfunction, AF, ACS and ATTR-CM also elevate biomarkers.</t>
  </si>
  <si>
    <t>AL06</t>
  </si>
  <si>
    <t>RENAL_EGFR_DECLINE_CONTEXTUAL</t>
  </si>
  <si>
    <t>Renal dysfunction / falling eGFR with proteinuria or monoclonal context</t>
  </si>
  <si>
    <t>Supporting organ red flag</t>
  </si>
  <si>
    <t>Can precede diagnosis</t>
  </si>
  <si>
    <t>eGFR decline + proteinuria + clone or another unexplained system</t>
  </si>
  <si>
    <t>Use eGFR-aware FLC ranges in CKD; standard 0.26–1.65 should not be universally applied.</t>
  </si>
  <si>
    <t>Chemistry; nephrology</t>
  </si>
  <si>
    <t>creatinine; eGFR; CKD; proteinuria</t>
  </si>
  <si>
    <t>Moderate feature; low weight if isolated CKD.</t>
  </si>
  <si>
    <t>CKD alone is common and poorly discriminating.</t>
  </si>
  <si>
    <t>AL24</t>
  </si>
  <si>
    <t>ATOM_AL24</t>
  </si>
  <si>
    <t>Symmetric peripheral sensorimotor neuropathy / sensory loss</t>
  </si>
  <si>
    <t>Neurologic organ red flag</t>
  </si>
  <si>
    <t>Neuropathy + proteinuria/clonal history; absence of strong hereditary/autonomic phenotype</t>
  </si>
  <si>
    <t>No EMG or sural-biopsy sensitivity should be used as a pre-test threshold; nerve biopsy is not screening.</t>
  </si>
  <si>
    <t>Neurology; EMG/NCS</t>
  </si>
  <si>
    <t>sensorimotor polyneuropathy; sensory loss; axonal neuropathy</t>
  </si>
  <si>
    <t>Moderate AL feature; compare ATTRv actively.</t>
  </si>
  <si>
    <t>ATTRv, diabetes, toxins and paraproteinemic neuropathies overlap.</t>
  </si>
  <si>
    <t>https://pubmed.ncbi.nlm.nih.gov/38923548/</t>
  </si>
  <si>
    <t>AL11</t>
  </si>
  <si>
    <t>Persistent diarrhea / constipation / dysphagia</t>
  </si>
  <si>
    <t>Additional organ red flag</t>
  </si>
  <si>
    <t>GI symptoms + proteinuria/clonal context or multisystem accumulation</t>
  </si>
  <si>
    <t>No AL-specific threshold.</t>
  </si>
  <si>
    <t>Problem list; GI notes</t>
  </si>
  <si>
    <t>diarrhea; constipation; dysphagia</t>
  </si>
  <si>
    <t>Moderate AL-vs-ATTRwt discriminator.</t>
  </si>
  <si>
    <t>ATTRv has prominent GI/autonomic disease; common GI disorders remain common.</t>
  </si>
  <si>
    <t>AL10</t>
  </si>
  <si>
    <t>Early satiety / nausea-vomiting / unexplained abdominal pain</t>
  </si>
  <si>
    <t>GI symptoms + renal/clonal evidence, weight loss or neuropathy</t>
  </si>
  <si>
    <t>No validated symptom-frequency cutoff; gastric-emptying studies are not required for pre-test screening.</t>
  </si>
  <si>
    <t>early satiety; nausea; vomiting; abdominal pain</t>
  </si>
  <si>
    <t>Moderate cluster feature.</t>
  </si>
  <si>
    <t>ATTRv and common GI disease overlap.</t>
  </si>
  <si>
    <t>https://pubmed.ncbi.nlm.nih.gov/41954624/</t>
  </si>
  <si>
    <t>AL18</t>
  </si>
  <si>
    <t>ATOM_AL18</t>
  </si>
  <si>
    <t>Unexplained hepatomegaly and/or cholestatic ALP elevation</t>
  </si>
  <si>
    <t>Hepatic</t>
  </si>
  <si>
    <t>HEPATOLOGY</t>
  </si>
  <si>
    <t>Usually near systemic presentation</t>
  </si>
  <si>
    <t>Hepatic abnormality + renal/clonal/cardiac evidence</t>
  </si>
  <si>
    <t>&gt;15 cm and &gt;1.5×ULN are organ-involvement criteria, not validated standalone screening cutoffs; specificity of low ALP threshold has been questioned.</t>
  </si>
  <si>
    <t>Chemistry; abdominal imaging; notes</t>
  </si>
  <si>
    <t>alkaline phosphatase; hepatomegaly; liver span</t>
  </si>
  <si>
    <t>Moderate supporting feature.</t>
  </si>
  <si>
    <t>Congestive hepatopathy is a major confounder; liver disease, malignancy and AA overlap.</t>
  </si>
  <si>
    <t>https://pmc.ncbi.nlm.nih.gov/articles/PMC10567953/</t>
  </si>
  <si>
    <t>AL09</t>
  </si>
  <si>
    <t>Unintentional weight loss / declining weight</t>
  </si>
  <si>
    <t>Early overlooked clue</t>
  </si>
  <si>
    <t>Can occur &gt;1 year before diagnosis in some cohorts</t>
  </si>
  <si>
    <t>Weight loss + proteinuria, early satiety, neuropathy or clonal history</t>
  </si>
  <si>
    <t>Do not impose &gt;10% loss as a universal AL threshold.</t>
  </si>
  <si>
    <t>Vitals; notes</t>
  </si>
  <si>
    <t>weight loss; BMI trend</t>
  </si>
  <si>
    <t>Malignancy, infection, ATTRv and many GI disorders overlap.</t>
  </si>
  <si>
    <t>AL14</t>
  </si>
  <si>
    <t>Unexplained heart failure / HFpEF</t>
  </si>
  <si>
    <t>Cardiac amyloidosis red flag</t>
  </si>
  <si>
    <t>Amyloidosis-general</t>
  </si>
  <si>
    <t>HF + nephrotic/clonal evidence supports AL; HF + CTS/AF/spinal stenosis favors ATTRwt</t>
  </si>
  <si>
    <t>Wall thickness &gt;12 mm is an organ-involvement criterion when no other cause exists, not a universal HFpEF screening definition.</t>
  </si>
  <si>
    <t>HFpEF; heart failure; restrictive cardiomyopathy</t>
  </si>
  <si>
    <t>High amyloid score, intentionally low AL subtype weight.</t>
  </si>
  <si>
    <t>ATTRwt is more commonly preceded by HF; hypertension/valve disease are common mimics.</t>
  </si>
  <si>
    <t>AL15</t>
  </si>
  <si>
    <t>Unexplained increased LV wall thickness / restrictive physiology on routine echocardiogram</t>
  </si>
  <si>
    <t>Often before amyloid-specific imaging</t>
  </si>
  <si>
    <t>Echo red flag + renal/clonal AL context; orthopedic prodrome favors ATTRwt</t>
  </si>
  <si>
    <t>&gt;12 mm is a classic involvement criterion, not a sensitive universal screening threshold.</t>
  </si>
  <si>
    <t>Echocardiography</t>
  </si>
  <si>
    <t>wall thickness; restrictive filling; valve/septal thickening</t>
  </si>
  <si>
    <t>Enter amyloidosis pathway; do not type AL.</t>
  </si>
  <si>
    <t>ATTRwt/ATTRv overlap; hypertension, AS and HCM mimic.</t>
  </si>
  <si>
    <t>AL16</t>
  </si>
  <si>
    <t>ATOM_AL16</t>
  </si>
  <si>
    <t>ECG low voltage / voltage-to-mass discordance / pseudoinfarction</t>
  </si>
  <si>
    <t>Near or before cardiac diagnosis</t>
  </si>
  <si>
    <t>Low voltage + wall thickening + AL-oriented renal/clonal features</t>
  </si>
  <si>
    <t>No single ECG criterion is sufficient for AL.</t>
  </si>
  <si>
    <t>ECG report / waveform</t>
  </si>
  <si>
    <t>low QRS voltage; pseudoinfarction; voltage-mass discordance</t>
  </si>
  <si>
    <t>Amyloidosis trigger only.</t>
  </si>
  <si>
    <t>AL and ATTR overlap; low voltage has incomplete sensitivity.</t>
  </si>
  <si>
    <t>AL33</t>
  </si>
  <si>
    <t>ATOM_AL33</t>
  </si>
  <si>
    <t>Unexplained cardiomyopathy / cardiomegaly without AL-oriented extracardiac features</t>
  </si>
  <si>
    <t>Before diagnosis</t>
  </si>
  <si>
    <t>Cardiomyopathy + proteinuria/clonal context makes AL more plausible</t>
  </si>
  <si>
    <t>No subtype-specific threshold.</t>
  </si>
  <si>
    <t>Cardiology; echo; imaging</t>
  </si>
  <si>
    <t>cardiomyopathy; cardiomegaly</t>
  </si>
  <si>
    <t>Low AL subtype weight.</t>
  </si>
  <si>
    <t>Hypertension/HCM/ischemia/valvular disease and ATTR are major alternatives.</t>
  </si>
  <si>
    <t>AL13</t>
  </si>
  <si>
    <t>Autonomic dysfunction / orthostatic hypotension</t>
  </si>
  <si>
    <t>Can occur before diagnosis</t>
  </si>
  <si>
    <t>Autonomic dysfunction + proteinuria/clonal context supports AL; family/ocular/painful PN favors ATTRv</t>
  </si>
  <si>
    <t>Routine orthostatic BP is pre-test usable; formal amyloid-directed autonomic testing is later-stage.</t>
  </si>
  <si>
    <t>Vitals; neurology; cardiology</t>
  </si>
  <si>
    <t>orthostatic hypotension; dysautonomia; syncope</t>
  </si>
  <si>
    <t>Amyloidosis red flag, low AL subtype weight.</t>
  </si>
  <si>
    <t>ATTRv often has earlier/more prominent painful small-fiber and autonomic/GI disease; medications/diabetes mimic.</t>
  </si>
  <si>
    <t>AL29</t>
  </si>
  <si>
    <t>ATOM_AL29</t>
  </si>
  <si>
    <t>Hypotension / syncope / dizziness in a multisystem phenotype</t>
  </si>
  <si>
    <t>Autonomic / cardiac</t>
  </si>
  <si>
    <t>Hypotension/syncope + proteinuria/clonal context or neuropathy</t>
  </si>
  <si>
    <t>No AL-specific numeric cutoff beyond routine definitions.</t>
  </si>
  <si>
    <t>hypotension; syncope; dizziness; orthostasis</t>
  </si>
  <si>
    <t>Low-moderate cluster feature.</t>
  </si>
  <si>
    <t>Very nonspecific; drugs, dehydration and arrhythmia mimic.</t>
  </si>
  <si>
    <t>AL28</t>
  </si>
  <si>
    <t>ATOM_AL28</t>
  </si>
  <si>
    <t>Pleural effusion or recurrent unexplained serosal fluid</t>
  </si>
  <si>
    <t>Cardiopulmonary / systemic</t>
  </si>
  <si>
    <t>Usually near cardiac/systemic disease</t>
  </si>
  <si>
    <t>Effusion + proteinuria/clonal/multisystem AL phenotype</t>
  </si>
  <si>
    <t>Chest imaging; problem list</t>
  </si>
  <si>
    <t>pleural effusion; thoracentesis</t>
  </si>
  <si>
    <t>Low-weight supporting feature.</t>
  </si>
  <si>
    <t>HF, malignancy, infection, renal/liver disease common.</t>
  </si>
  <si>
    <t>AL20</t>
  </si>
  <si>
    <t>ATOM_AL20</t>
  </si>
  <si>
    <t>Dyspnea / shortness of breath</t>
  </si>
  <si>
    <t>Cardiopulmonary</t>
  </si>
  <si>
    <t>Nonspecific prodromal clue</t>
  </si>
  <si>
    <t>Nonspecific</t>
  </si>
  <si>
    <t>Often early</t>
  </si>
  <si>
    <t>Dyspnea + renal/clonal evidence raises AL; CTS/AF/older cardiac pattern leans ATTRwt</t>
  </si>
  <si>
    <t>No threshold.</t>
  </si>
  <si>
    <t>Notes; problem list</t>
  </si>
  <si>
    <t>dyspnea; SOB; exertional dyspnea</t>
  </si>
  <si>
    <t>Amyloidosis context only.</t>
  </si>
  <si>
    <t>ATTRwt, lung disease, anemia and other HF etiologies overlap.</t>
  </si>
  <si>
    <t>AL19</t>
  </si>
  <si>
    <t>ATOM_AL19</t>
  </si>
  <si>
    <t>Fatigue / malaise / weakness</t>
  </si>
  <si>
    <t>Systemic</t>
  </si>
  <si>
    <t>Useful only when organ-specific signs accumulate</t>
  </si>
  <si>
    <t>fatigue; malaise; weakness</t>
  </si>
  <si>
    <t>Do not score heavily alone.</t>
  </si>
  <si>
    <t>Nearly every chronic systemic illness can cause it.</t>
  </si>
  <si>
    <t>AL34</t>
  </si>
  <si>
    <t>ATOM_AL34</t>
  </si>
  <si>
    <t>Edema without documented proteinuria or hypoalbuminemia</t>
  </si>
  <si>
    <t>Weak contextual clue</t>
  </si>
  <si>
    <t>Becomes meaningful with proteinuria + hypoalbuminemia</t>
  </si>
  <si>
    <t>Problem list; exam</t>
  </si>
  <si>
    <t>Very low weight unless renal cluster present.</t>
  </si>
  <si>
    <t>HF, venous disease, liver disease, medications and ATTR overlap.</t>
  </si>
  <si>
    <t>AL25</t>
  </si>
  <si>
    <t>Credible chronic inflammatory/autoinflammatory/infectious history + new persistent proteinuria</t>
  </si>
  <si>
    <t>Counter-evidence / differential</t>
  </si>
  <si>
    <t>Counter-evidence ? AA</t>
  </si>
  <si>
    <t>Persistent inflammatory driver + inflammatory burden + new proteinuria</t>
  </si>
  <si>
    <t>No universal CRP/SAA or duration threshold establishes AA.</t>
  </si>
  <si>
    <t>Problem list + rheumatology/infectious + urine labs</t>
  </si>
  <si>
    <t>RA; Crohn; FMF; TB; bronchiectasis; proteinuria</t>
  </si>
  <si>
    <t>AL down-weight / AA guardrail.</t>
  </si>
  <si>
    <t>AL and inflammation can coexist; clonal evidence may keep AL active.</t>
  </si>
  <si>
    <t>AL30</t>
  </si>
  <si>
    <t>Older patient with predominantly isolated cardiac phenotype + AF/CTS and little renal/GI/clonal evidence</t>
  </si>
  <si>
    <t>Counter-evidence ? ATTRwt</t>
  </si>
  <si>
    <t>Before subtype-specific testing</t>
  </si>
  <si>
    <t>HF/cardiomyopathy + AF + CTS/spinal stenosis without strong AL-oriented extracardiac context</t>
  </si>
  <si>
    <t>Composite synthesis, not validated exclusion rule.</t>
  </si>
  <si>
    <t>Derived across cardiology + procedures</t>
  </si>
  <si>
    <t>HF; AF; CTS; spinal stenosis; no heavy proteinuria</t>
  </si>
  <si>
    <t>AL down-weight; route toward ATTR evaluation.</t>
  </si>
  <si>
    <t>AL can present cardiac-only; not a hard exclusion.</t>
  </si>
  <si>
    <t>AL31</t>
  </si>
  <si>
    <t>Painful length-dependent/small-fiber neuropathy with early marked autonomic/GI dysfunction ± hereditary clues</t>
  </si>
  <si>
    <t>Neurologic / autonomic</t>
  </si>
  <si>
    <t>Counter-evidence ? ATTRv</t>
  </si>
  <si>
    <t>Often early in ATTRv</t>
  </si>
  <si>
    <t>Painful PN + orthostasis/GI dysfunction + family/ocular/cardiac hereditary clues</t>
  </si>
  <si>
    <t>No single feature proves ATTRv; genetic testing is confirmatory.</t>
  </si>
  <si>
    <t>small fiber neuropathy; burning pain; dysautonomia</t>
  </si>
  <si>
    <t>AL down-weight / ATTRv guardrail.</t>
  </si>
  <si>
    <t>AL neuropathy, diabetes and CIDP overlap.</t>
  </si>
  <si>
    <t>AL22</t>
  </si>
  <si>
    <t>Bilateral/recurrent carpal tunnel syndrome years before cardiac disease</t>
  </si>
  <si>
    <t>Often 5–9 years before ATTR cardiac diagnosis</t>
  </si>
  <si>
    <t>Bilateral/recurrent CTS + later HF/LVH/AF/conduction disease</t>
  </si>
  <si>
    <t>Timing matters more than a single CTS code.</t>
  </si>
  <si>
    <t>Problem list; hand surgery</t>
  </si>
  <si>
    <t>bilateral CTS; carpal tunnel release</t>
  </si>
  <si>
    <t>Explicit AL down-weight / ATTRwt guardrail.</t>
  </si>
  <si>
    <t>CTS is common and can coexist with AL; not an exclusion.</t>
  </si>
  <si>
    <t>AL23</t>
  </si>
  <si>
    <t>RULE_AL23</t>
  </si>
  <si>
    <t>Long orthopedic prodrome: lumbar spinal stenosis / distal biceps rupture / multiple tendon-hand procedures</t>
  </si>
  <si>
    <t>Years before cardiac disease</t>
  </si>
  <si>
    <t>?2 orthopedic red flags + later HF/LVH/AF/conduction disease</t>
  </si>
  <si>
    <t>No validated orthopedic score; use clustering and timing.</t>
  </si>
  <si>
    <t>Procedures; orthopedic/spine notes</t>
  </si>
  <si>
    <t>lumbar stenosis; biceps rupture; trigger finger; tendon surgery</t>
  </si>
  <si>
    <t>AL down-weight / ATTRwt routing clue.</t>
  </si>
  <si>
    <t>Age-related degenerative disease can mimic individual events.</t>
  </si>
  <si>
    <t>Overlay_Phenotype</t>
  </si>
  <si>
    <t>Tier_or_Status</t>
  </si>
  <si>
    <t>Overlay_Role</t>
  </si>
  <si>
    <t>Gate_Eligible</t>
  </si>
  <si>
    <t>Priority_Behavior</t>
  </si>
  <si>
    <t>Implementation_Note</t>
  </si>
  <si>
    <t>TEMPORAL</t>
  </si>
  <si>
    <t>No — rule only</t>
  </si>
  <si>
    <t>Temporal sequence upgrades/qualifies a combination; it is not an independent bucket.</t>
  </si>
  <si>
    <t>POSITIVE_EVIDENCE</t>
  </si>
  <si>
    <t>Best tier is taken within this bucket; tiers are never added.</t>
  </si>
  <si>
    <t>GENERAL_AMYLOID</t>
  </si>
  <si>
    <t>General amyloid gate uses independent buckets; etiology context may pair with one organ bucket.</t>
  </si>
  <si>
    <t>ATTR_COMMON</t>
  </si>
  <si>
    <t>ATTR_COMMON_EVIDENCE</t>
  </si>
  <si>
    <t>Counts only in an explicitly allowed ATTR-common bucket combination.</t>
  </si>
  <si>
    <t>No — context only</t>
  </si>
  <si>
    <t>GUARDRAIL</t>
  </si>
  <si>
    <t>GUARDRAIL_OR_ROUTE</t>
  </si>
  <si>
    <t>Route/guardrail = NO_EXCLUSION_FEMALE_WALL_THICKNESS; never convert to Tier 4.</t>
  </si>
  <si>
    <t>AUDIT_ONLY</t>
  </si>
  <si>
    <t>Not a positive screening trigger.</t>
  </si>
  <si>
    <t>Route/guardrail = AL_SAFETY; never convert to Tier 4.</t>
  </si>
  <si>
    <t>Route/guardrail = AL_SAFETY_INTERPRET_FLC_WITH_CKD; never convert to Tier 4.</t>
  </si>
  <si>
    <t>Route/guardrail = AL; never convert to Tier 4.</t>
  </si>
  <si>
    <t>Route/guardrail = ATTRv; never convert to Tier 4.</t>
  </si>
  <si>
    <t>Route/guardrail = AA; never convert to Tier 4.</t>
  </si>
  <si>
    <t>COMPOSITE</t>
  </si>
  <si>
    <t>Derived from underlying bucket evidence; must not create an extra bucket.</t>
  </si>
  <si>
    <t>Route/guardrail = ANTI_ANCHORING_NOT_EXCLUSION; never convert to Tier 4.</t>
  </si>
  <si>
    <t>Route/guardrail = ALTERNATIVE_NEUROPATHY; never convert to Tier 4.</t>
  </si>
  <si>
    <t>Route/guardrail = ATTRwt; never convert to Tier 4.</t>
  </si>
  <si>
    <t>Route/guardrail = ALTERNATIVE_RENAL_PROCESS; never convert to Tier 4.</t>
  </si>
  <si>
    <t>Route/guardrail = AL_OR_ATTR; never convert to Tier 4.</t>
  </si>
  <si>
    <t>Route/guardrail = AA_UNCERTAIN_NO_DRIVER; never convert to Tier 4.</t>
  </si>
  <si>
    <t>Route/guardrail = ATTR; never convert to Tier 4.</t>
  </si>
  <si>
    <t>ROUTE</t>
  </si>
  <si>
    <t>ROUTE_TO_AL</t>
  </si>
  <si>
    <t>No — route only</t>
  </si>
  <si>
    <t>This source row points to the target phenotype; do not double-count it as a new positive atom.</t>
  </si>
  <si>
    <t>ROUTE_TO_ATTRV</t>
  </si>
  <si>
    <t>ROUTE_TO_AA</t>
  </si>
  <si>
    <t>ROUTE_TO_ATTRWT</t>
  </si>
  <si>
    <t>ROUTE_TO_AL_OR_ATTR</t>
  </si>
  <si>
    <t>ROUTE_TO_ATTR</t>
  </si>
  <si>
    <t>Phenotype</t>
  </si>
  <si>
    <t>Rule_ID</t>
  </si>
  <si>
    <t>Priority</t>
  </si>
  <si>
    <t>Rule_Type</t>
  </si>
  <si>
    <t>Required_Bucket_or_Class_1</t>
  </si>
  <si>
    <t>Tier_Requirement_1</t>
  </si>
  <si>
    <t>Required_Bucket_or_Class_2</t>
  </si>
  <si>
    <t>Additional_Condition_or_Modifier</t>
  </si>
  <si>
    <t>Temporal_Required</t>
  </si>
  <si>
    <t>Output_Route</t>
  </si>
  <si>
    <t>Implementation_Notes</t>
  </si>
  <si>
    <t>GA01</t>
  </si>
  <si>
    <t>Priority A</t>
  </si>
  <si>
    <t>COUNT_DISTINCT_BUCKETS</t>
  </si>
  <si>
    <t>Any 2 independent organ/phenotype buckets</t>
  </si>
  <si>
    <t>Tier 1-2</t>
  </si>
  <si>
    <t>Allowed organ buckets: CARDIO, RENAL, NEURO, AUTONOMIC, ORTHO, OCULAR, MUCOSAL_CUTANEOUS, GI_HEPATIC</t>
  </si>
  <si>
    <t>GENERAL_AMYLOID_REVIEW</t>
  </si>
  <si>
    <t>T3/T4 never supply the second bucket. Same biological process cannot be counted twice across source specialties.</t>
  </si>
  <si>
    <t>GA02</t>
  </si>
  <si>
    <t>Priority A/B</t>
  </si>
  <si>
    <t>ORG_PLUS_ETIOLOGY</t>
  </si>
  <si>
    <t>1 organ/phenotype bucket</t>
  </si>
  <si>
    <t>1 etiologic-context bucket Tier 1-2</t>
  </si>
  <si>
    <t>Etiology buckets: HEME_CLONAL, INFLAMMATORY_DRIVER, HEREDITARY</t>
  </si>
  <si>
    <t>Etiology context alone never passes; it must pair with objective organ/phenotype evidence.</t>
  </si>
  <si>
    <t>AC01</t>
  </si>
  <si>
    <t>PAIR</t>
  </si>
  <si>
    <t>CARDIO Tier 1-2</t>
  </si>
  <si>
    <t>ATTR_REVIEW</t>
  </si>
  <si>
    <t>Classic ATTRwt-shaped pair.</t>
  </si>
  <si>
    <t>AC02</t>
  </si>
  <si>
    <t>AUTONOMIC Tier 1-2</t>
  </si>
  <si>
    <t>Classic neuropathic ATTRv-shaped pair.</t>
  </si>
  <si>
    <t>AC03</t>
  </si>
  <si>
    <t>HEREDITARY Tier 1-2</t>
  </si>
  <si>
    <t>Strong hereditary neuropathy pattern.</t>
  </si>
  <si>
    <t>AC04</t>
  </si>
  <si>
    <t>Priority B</t>
  </si>
  <si>
    <t>Mixed neurologic-cardiac ATTR pattern.</t>
  </si>
  <si>
    <t>AC05</t>
  </si>
  <si>
    <t>Allows cardiac-predominant ATTRv.</t>
  </si>
  <si>
    <t>AC06</t>
  </si>
  <si>
    <t>OCULAR Tier 1-2</t>
  </si>
  <si>
    <t>Ocular + neurologic ATTRv pattern.</t>
  </si>
  <si>
    <t>AC07</t>
  </si>
  <si>
    <t>Priority B/C</t>
  </si>
  <si>
    <t>NEURO Tier 1-2</t>
  </si>
  <si>
    <t>ATTR common only; subtype requires wt/v-specific logic.</t>
  </si>
  <si>
    <t>AC08</t>
  </si>
  <si>
    <t>Hereditary autonomic pattern.</t>
  </si>
  <si>
    <t>WT_RULE_01</t>
  </si>
  <si>
    <t>PAIR_TEMPORAL</t>
  </si>
  <si>
    <t>ORTHO first evidence precedes CARDIO first evidence; no hard universal year cutoff</t>
  </si>
  <si>
    <t>ATTRWT_REVIEW</t>
  </si>
  <si>
    <t>Canonical ATTRwt rule. Temporal order strengthens priority but does not create another bucket.</t>
  </si>
  <si>
    <t>WT_RULE_02</t>
  </si>
  <si>
    <t>Use when date quality is insufficient to prove sequence</t>
  </si>
  <si>
    <t>Same phenotype with missing/uncertain chronology; rank below WT_RULE_01.</t>
  </si>
  <si>
    <t>V_RULE_01</t>
  </si>
  <si>
    <t>ATTRV_REVIEW</t>
  </si>
  <si>
    <t>Canonical neuropathic/autonomic ATTRv.</t>
  </si>
  <si>
    <t>V_RULE_02</t>
  </si>
  <si>
    <t>Progressive neuropathy + hereditary context.</t>
  </si>
  <si>
    <t>V_RULE_03</t>
  </si>
  <si>
    <t>Neurologic + characteristic ocular phenotype.</t>
  </si>
  <si>
    <t>V_RULE_04</t>
  </si>
  <si>
    <t>Mixed phenotype.</t>
  </si>
  <si>
    <t>V_RULE_05</t>
  </si>
  <si>
    <t>Allows cardiac-predominant hereditary disease without requiring neuropathy.</t>
  </si>
  <si>
    <t>V_RULE_06</t>
  </si>
  <si>
    <t>Hereditary + dysautonomia.</t>
  </si>
  <si>
    <t>V_RULE_07</t>
  </si>
  <si>
    <t>Carrier conversion</t>
  </si>
  <si>
    <t>RENAL Tier 1-2</t>
  </si>
  <si>
    <t>Only for known carrier / cascade-testing context</t>
  </si>
  <si>
    <t>ATTRV_CARRIER_REVIEW</t>
  </si>
  <si>
    <t>Carrier surveillance route; not equivalent to systemic ATTRv diagnosis.</t>
  </si>
  <si>
    <t>AL_RULE_01</t>
  </si>
  <si>
    <t>AL_SAFETY_REVIEW</t>
  </si>
  <si>
    <t>Highest-yield clonal + renal phenotype.</t>
  </si>
  <si>
    <t>AL_RULE_02</t>
  </si>
  <si>
    <t>Clonal + cardiac amyloid phenotype.</t>
  </si>
  <si>
    <t>AL_RULE_03</t>
  </si>
  <si>
    <t>Clonal + neuropathy.</t>
  </si>
  <si>
    <t>AL_RULE_04</t>
  </si>
  <si>
    <t>Clonal + autonomic organ involvement.</t>
  </si>
  <si>
    <t>AL_RULE_05</t>
  </si>
  <si>
    <t>GI_HEPATIC Tier 1-2</t>
  </si>
  <si>
    <t>Clonal + GI/hepatic organ involvement.</t>
  </si>
  <si>
    <t>AL_RULE_06</t>
  </si>
  <si>
    <t>PAIR_CLASS</t>
  </si>
  <si>
    <t>Any organ bucket Tier 1-2</t>
  </si>
  <si>
    <t>Organ bucket may be RENAL/CARDIO/NEURO/AUTONOMIC/GI_HEPATIC</t>
  </si>
  <si>
    <t>Macroglossia/purpura remain high-specificity but low-sensitivity clues.</t>
  </si>
  <si>
    <t>AL_RULE_07</t>
  </si>
  <si>
    <t>Possible AL</t>
  </si>
  <si>
    <t>At least 3 organ buckets</t>
  </si>
  <si>
    <t>No HEME_CLONAL required for this rule</t>
  </si>
  <si>
    <t>AL_MONOCLONAL_SCREEN</t>
  </si>
  <si>
    <t>Do not label AL; use as a funnel for appropriate monoclonal evaluation.</t>
  </si>
  <si>
    <t>AA_RULE_01</t>
  </si>
  <si>
    <t>TRIPLE_WITH_MODIFIER</t>
  </si>
  <si>
    <t>INFLAMMATORY_ACTIVITY Tier 1-2 strengthens priority but is NOT an independent bucket</t>
  </si>
  <si>
    <t>AA_REVIEW</t>
  </si>
  <si>
    <t>Driver + renal transition is the disease-shaped combination.</t>
  </si>
  <si>
    <t>AA_RULE_02</t>
  </si>
  <si>
    <t>Use when activity data are missing/weak</t>
  </si>
  <si>
    <t>Family/genetic susceptibility can modify priority but cannot replace driver or renal evidence.</t>
  </si>
  <si>
    <t>Source_Sign_ID</t>
  </si>
  <si>
    <t>Derived_Rule_ID</t>
  </si>
  <si>
    <t>Rule_Scope</t>
  </si>
  <si>
    <t>Definition</t>
  </si>
  <si>
    <t>Effect</t>
  </si>
  <si>
    <t>Double_Counting_Guardrail</t>
  </si>
  <si>
    <t>ORTHO_CLUSTER</t>
  </si>
  <si>
    <t>Within-bucket derived feature</t>
  </si>
  <si>
    <t>Multiple distinct orthopedic red flags across different tissues/procedures</t>
  </si>
  <si>
    <t>Derive ORTHO Tier 1</t>
  </si>
  <si>
    <t>Counts once as ORTHO; never as multiple specialties.</t>
  </si>
  <si>
    <t>NEURO_PLUS_SYSTEMIC</t>
  </si>
  <si>
    <t>Cross-bucket composite</t>
  </si>
  <si>
    <t>Idiopathic axonal neuropathy + at least 2 ATTRv systemic red flags</t>
  </si>
  <si>
    <t>Upgrade ATTRv review priority</t>
  </si>
  <si>
    <t>Do not add a synthetic extra bucket on top of the component buckets.</t>
  </si>
  <si>
    <t>NEURO_CARDIO_MIXED</t>
  </si>
  <si>
    <t>Neurologic/autonomic phenotype + cardiac phenotype</t>
  </si>
  <si>
    <t>Upgrade mixed ATTRv combination</t>
  </si>
  <si>
    <t>Equivalent to a combination rule, not a new independent bucket.</t>
  </si>
  <si>
    <t>RENAL_DISPROPORTIONATE</t>
  </si>
  <si>
    <t>Within-bucket derived discriminator</t>
  </si>
  <si>
    <t>Renal phenotype disproportionate to diabetes/HTN/medication or other explanation in inflammatory context</t>
  </si>
  <si>
    <t>May elevate RENAL to Tier 1</t>
  </si>
  <si>
    <t>Still counts once as RENAL.</t>
  </si>
  <si>
    <t>MULTISYSTEM_ACCUMULATION</t>
  </si>
  <si>
    <t>Cross-bucket derived feature</t>
  </si>
  <si>
    <t>Evidence across at least 3 distinct organ-system buckets</t>
  </si>
  <si>
    <t>Route to AL_MONOCLONAL_SCREEN / raise review priority</t>
  </si>
  <si>
    <t>Do not count MULTISYSTEM as a fourth bucket.</t>
  </si>
  <si>
    <t>CLONAL_PLUS_NEW_ORGAN</t>
  </si>
  <si>
    <t>Known monoclonal/plasma-cell precursor + new unexplained organ dysfunction</t>
  </si>
  <si>
    <t>Direct AL safety escalation</t>
  </si>
  <si>
    <t>Underlying HEME + ORGAN buckets are the actual counted evidence.</t>
  </si>
  <si>
    <t>PREEXISTING_MONOCLONAL_PLUS_ORGAN</t>
  </si>
  <si>
    <t>Pre-existing abnormal monoclonal studies from unrelated follow-up + new organ signal</t>
  </si>
  <si>
    <t>Only pre-test if monoclonal tests predated amyloid suspicion.</t>
  </si>
  <si>
    <t>Temporal_Rule_ID</t>
  </si>
  <si>
    <t>Source_Sign_IDs</t>
  </si>
  <si>
    <t>Pattern</t>
  </si>
  <si>
    <t>Logic</t>
  </si>
  <si>
    <t>Threshold_Status</t>
  </si>
  <si>
    <t>T01</t>
  </si>
  <si>
    <t>ORTHO_BEFORE_CARDIO</t>
  </si>
  <si>
    <t>First qualifying ORTHO evidence precedes first qualifying CARDIO evidence</t>
  </si>
  <si>
    <t>No hard minimum gap; store years_between for ranking/explanation</t>
  </si>
  <si>
    <t>Upgrade to ATTRwt Priority A</t>
  </si>
  <si>
    <t>Do not create an extra bucket.</t>
  </si>
  <si>
    <t>T02</t>
  </si>
  <si>
    <t>V02/V04/V14</t>
  </si>
  <si>
    <t>PROGRESSIVE_NEUROPATHY</t>
  </si>
  <si>
    <t>Evidence of progression across visits/tests rather than one lifetime neuropathy code</t>
  </si>
  <si>
    <t>Use first/last date and repeated objective findings when available</t>
  </si>
  <si>
    <t>Strengthens NEURO tier reliability</t>
  </si>
  <si>
    <t>Progression is part of phenotype quality.</t>
  </si>
  <si>
    <t>T03</t>
  </si>
  <si>
    <t>V01/V17/V18</t>
  </si>
  <si>
    <t>CARRIER_NEW_CHANGE</t>
  </si>
  <si>
    <t>Known carrier/family-risk context precedes a new objective neurologic/autonomic/renal change</t>
  </si>
  <si>
    <t>No fixed interval</t>
  </si>
  <si>
    <t>Carrier-conversion review</t>
  </si>
  <si>
    <t>Do not call active ATTRv from genotype alone.</t>
  </si>
  <si>
    <t>T04</t>
  </si>
  <si>
    <t>AA05/AA12/AA13/AA14</t>
  </si>
  <si>
    <t>PERSISTENT_INFLAMMATORY_BURDEN</t>
  </si>
  <si>
    <t>Repeated/persistent activity over time rather than one CRP/ESR/SAA value</t>
  </si>
  <si>
    <t>No universal hard threshold in this config</t>
  </si>
  <si>
    <t>Strengthens AA priority</t>
  </si>
  <si>
    <t>Inflammatory activity is a modifier, not the second independent disease bucket.</t>
  </si>
  <si>
    <t>T05</t>
  </si>
  <si>
    <t>AA15/AA16/AA17/AA20</t>
  </si>
  <si>
    <t>RENAL_TRANSITION</t>
  </si>
  <si>
    <t>New/persistent or progressive renal abnormality after/with chronic inflammatory driver</t>
  </si>
  <si>
    <t>Require persistence/trend where source row specifies it</t>
  </si>
  <si>
    <t>Qualifies RENAL bucket</t>
  </si>
  <si>
    <t>Single transient abnormality should not trigger the gate.</t>
  </si>
  <si>
    <t>T06</t>
  </si>
  <si>
    <t>AL03/AL04/AL06</t>
  </si>
  <si>
    <t>RENAL_PERSISTENCE</t>
  </si>
  <si>
    <t>Persistent/progressive proteinuric renal phenotype</t>
  </si>
  <si>
    <t>Use trend and repeat measurements</t>
  </si>
  <si>
    <t>Improves renal evidence confidence</t>
  </si>
  <si>
    <t>Avoid single-measurement overcalling.</t>
  </si>
  <si>
    <t>T07</t>
  </si>
  <si>
    <t>MULTISYSTEM_ACCUMULATION_OVER_TIME</t>
  </si>
  <si>
    <t>Distinct organ buckets accumulate longitudinally</t>
  </si>
  <si>
    <t>No fixed window</t>
  </si>
  <si>
    <t>AL possible / monoclonal-screen funnel</t>
  </si>
  <si>
    <t>Count distinct organ buckets, not repeated codes.</t>
  </si>
  <si>
    <t>Route_or_Guardrail</t>
  </si>
  <si>
    <t>Feature</t>
  </si>
  <si>
    <t>Source_Guardrail_Context</t>
  </si>
  <si>
    <t>Implementation_Rule</t>
  </si>
  <si>
    <t>Never convert to Tier 4 positive evidence; route/flag in parallel and allow simultaneous phenotype passes.</t>
  </si>
  <si>
    <t>DO_NOT_USE_AS_TRIGGER</t>
  </si>
  <si>
    <t>Retain only for provenance/audit/research.</t>
  </si>
  <si>
    <t>Coverage Audit — all four source CSVs must reconcile to the config</t>
  </si>
  <si>
    <t>Expected_Rows</t>
  </si>
  <si>
    <t>Catalog_Rows</t>
  </si>
  <si>
    <t>Source_Overlay_Rows</t>
  </si>
  <si>
    <t>Status</t>
  </si>
  <si>
    <t>Audit Metric</t>
  </si>
  <si>
    <t>Value</t>
  </si>
  <si>
    <t>Count</t>
  </si>
  <si>
    <t>Total expected source rows</t>
  </si>
  <si>
    <t>Total catalog rows</t>
  </si>
  <si>
    <t>Rows marked COVERED</t>
  </si>
  <si>
    <t>Uncovered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</si>
</sst>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/>
    <xf numFmtId="0" fontId="4" fillId="2" borderId="0" xfId="0" applyFont="1" applyFill="1" applyAlignment="1"/>
  </cellXfs>
  <cellStyles count="1">
    <cellStyle name="Normal" xfId="0" builtinId="0"/>
  </cellStyles>
  <dxfs count="25"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E2F0D9"/>
        </patternFill>
      </fill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/>
    </dxf>
    <dxf>
      <fill>
        <patternFill patternType="solid">
          <bgColor rgb="FFE7E6E6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ont>
        <b/>
      </font>
      <fill>
        <patternFill patternType="solid">
          <bgColor rgb="FFE2F0D9"/>
        </patternFill>
      </fill>
    </dxf>
    <dxf>
      <fill>
        <patternFill patternType="solid">
          <bgColor rgb="FFE2F0D9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ont>
        <b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Source-row coverage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Expected_Rows</c:v>
          </c:tx>
          <c:invertIfNegative val="1"/>
          <c:cat>
            <c:strRef>
              <c:f>'Coverage Audit'!$A$4:$A$7</c:f>
              <c:strCache>
                <c:ptCount val="4"/>
                <c:pt idx="0">
                  <c:v>ATTRwt</c:v>
                </c:pt>
                <c:pt idx="1">
                  <c:v>ATTRv</c:v>
                </c:pt>
                <c:pt idx="2">
                  <c:v>AA</c:v>
                </c:pt>
                <c:pt idx="3">
                  <c:v>AL</c:v>
                </c:pt>
              </c:strCache>
            </c:strRef>
          </c:cat>
          <c:val>
            <c:numRef>
              <c:f>'Coverage Audit'!$B$4:$B$7</c:f>
              <c:numCache>
                <c:formatCode>General</c:formatCode>
                <c:ptCount val="4"/>
                <c:pt idx="0">
                  <c:v>30</c:v>
                </c:pt>
                <c:pt idx="1">
                  <c:v>41</c:v>
                </c:pt>
                <c:pt idx="2">
                  <c:v>30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0-42AC-8A5D-91BFE94DA988}"/>
            </c:ext>
          </c:extLst>
        </c:ser>
        <c:ser>
          <c:idx val="1"/>
          <c:order val="1"/>
          <c:tx>
            <c:v>Catalog_Rows</c:v>
          </c:tx>
          <c:invertIfNegative val="1"/>
          <c:cat>
            <c:strRef>
              <c:f>'Coverage Audit'!$A$4:$A$7</c:f>
              <c:strCache>
                <c:ptCount val="4"/>
                <c:pt idx="0">
                  <c:v>ATTRwt</c:v>
                </c:pt>
                <c:pt idx="1">
                  <c:v>ATTRv</c:v>
                </c:pt>
                <c:pt idx="2">
                  <c:v>AA</c:v>
                </c:pt>
                <c:pt idx="3">
                  <c:v>AL</c:v>
                </c:pt>
              </c:strCache>
            </c:strRef>
          </c:cat>
          <c:val>
            <c:numRef>
              <c:f>'Coverage Audit'!$C$4:$C$7</c:f>
              <c:numCache>
                <c:formatCode>General</c:formatCode>
                <c:ptCount val="4"/>
                <c:pt idx="0">
                  <c:v>30</c:v>
                </c:pt>
                <c:pt idx="1">
                  <c:v>41</c:v>
                </c:pt>
                <c:pt idx="2">
                  <c:v>30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0-42AC-8A5D-91BFE94DA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gnalCatalogTable" displayName="SignalCatalogTable" ref="A1:AH134" totalsRowShown="0">
  <tableColumns count="34">
    <tableColumn id="1" xr3:uid="{00000000-0010-0000-0000-000001000000}" name="Source_Phenotype"/>
    <tableColumn id="2" xr3:uid="{00000000-0010-0000-0000-000002000000}" name="Sign_ID"/>
    <tableColumn id="3" xr3:uid="{00000000-0010-0000-0000-000003000000}" name="Canonical_Atom_or_Rule_ID"/>
    <tableColumn id="4" xr3:uid="{00000000-0010-0000-0000-000004000000}" name="Config_Object_Type"/>
    <tableColumn id="5" xr3:uid="{00000000-0010-0000-0000-000005000000}" name="Config_Action"/>
    <tableColumn id="6" xr3:uid="{00000000-0010-0000-0000-000006000000}" name="Sign_or_Phenotype_Feature"/>
    <tableColumn id="7" xr3:uid="{00000000-0010-0000-0000-000007000000}" name="Source_Domain"/>
    <tableColumn id="8" xr3:uid="{00000000-0010-0000-0000-000008000000}" name="Source_Specialty"/>
    <tableColumn id="9" xr3:uid="{00000000-0010-0000-0000-000009000000}" name="Reasoning_Bucket"/>
    <tableColumn id="10" xr3:uid="{00000000-0010-0000-0000-00000A000000}" name="Source_Phenotype_Role"/>
    <tableColumn id="11" xr3:uid="{00000000-0010-0000-0000-00000B000000}" name="Source_Direction"/>
    <tableColumn id="12" xr3:uid="{00000000-0010-0000-0000-00000C000000}" name="Proposed_Source_Tier"/>
    <tableColumn id="13" xr3:uid="{00000000-0010-0000-0000-00000D000000}" name="Source_Gate_Eligible"/>
    <tableColumn id="14" xr3:uid="{00000000-0010-0000-0000-00000E000000}" name="General_Amyloid_Tier"/>
    <tableColumn id="15" xr3:uid="{00000000-0010-0000-0000-00000F000000}" name="General_Amyloid_Role"/>
    <tableColumn id="16" xr3:uid="{00000000-0010-0000-0000-000010000000}" name="ATTR_Common_Tier"/>
    <tableColumn id="17" xr3:uid="{00000000-0010-0000-0000-000011000000}" name="Differential_Route_or_Guardrail"/>
    <tableColumn id="18" xr3:uid="{00000000-0010-0000-0000-000012000000}" name="Typical_Timing_vs_Diagnosis"/>
    <tableColumn id="19" xr3:uid="{00000000-0010-0000-0000-000013000000}" name="Combination_from_Source"/>
    <tableColumn id="20" xr3:uid="{00000000-0010-0000-0000-000014000000}" name="Threshold_or_Criterion_Status"/>
    <tableColumn id="21" xr3:uid="{00000000-0010-0000-0000-000015000000}" name="PreTest_Usability"/>
    <tableColumn id="22" xr3:uid="{00000000-0010-0000-0000-000016000000}" name="EHR_Detectability"/>
    <tableColumn id="23" xr3:uid="{00000000-0010-0000-0000-000017000000}" name="Likely_EHR_Location"/>
    <tableColumn id="24" xr3:uid="{00000000-0010-0000-0000-000018000000}" name="Structured_Fields_or_NLP_Terms"/>
    <tableColumn id="25" xr3:uid="{00000000-0010-0000-0000-000019000000}" name="Recommended_Model_Use_Source"/>
    <tableColumn id="26" xr3:uid="{00000000-0010-0000-0000-00001A000000}" name="Key_Overlap_Mimic_Guardrail"/>
    <tableColumn id="27" xr3:uid="{00000000-0010-0000-0000-00001B000000}" name="Evidence_Confidence"/>
    <tableColumn id="28" xr3:uid="{00000000-0010-0000-0000-00001C000000}" name="Amyloid_Suspicion_Importance_Source"/>
    <tableColumn id="29" xr3:uid="{00000000-0010-0000-0000-00001D000000}" name="Subtype_Distinguisher_Importance_Source"/>
    <tableColumn id="30" xr3:uid="{00000000-0010-0000-0000-00001E000000}" name="Original_Source_Priority_Tier"/>
    <tableColumn id="31" xr3:uid="{00000000-0010-0000-0000-00001F000000}" name="Primary_Source"/>
    <tableColumn id="32" xr3:uid="{00000000-0010-0000-0000-000020000000}" name="Supporting_Source"/>
    <tableColumn id="33" xr3:uid="{00000000-0010-0000-0000-000021000000}" name="Config_Design_Note"/>
    <tableColumn id="34" xr3:uid="{00000000-0010-0000-0000-000022000000}" name="Coverage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henotypeOverlayTable" displayName="PhenotypeOverlayTable" ref="A1:J303" totalsRowShown="0">
  <tableColumns count="10">
    <tableColumn id="1" xr3:uid="{00000000-0010-0000-0100-000001000000}" name="Sign_ID"/>
    <tableColumn id="2" xr3:uid="{00000000-0010-0000-0100-000002000000}" name="Canonical_Atom_or_Rule_ID"/>
    <tableColumn id="3" xr3:uid="{00000000-0010-0000-0100-000003000000}" name="Overlay_Phenotype"/>
    <tableColumn id="4" xr3:uid="{00000000-0010-0000-0100-000004000000}" name="Reasoning_Bucket"/>
    <tableColumn id="5" xr3:uid="{00000000-0010-0000-0100-000005000000}" name="Tier_or_Status"/>
    <tableColumn id="6" xr3:uid="{00000000-0010-0000-0100-000006000000}" name="Overlay_Role"/>
    <tableColumn id="7" xr3:uid="{00000000-0010-0000-0100-000007000000}" name="Gate_Eligible"/>
    <tableColumn id="8" xr3:uid="{00000000-0010-0000-0100-000008000000}" name="Priority_Behavior"/>
    <tableColumn id="9" xr3:uid="{00000000-0010-0000-0100-000009000000}" name="Source_Phenotype"/>
    <tableColumn id="10" xr3:uid="{00000000-0010-0000-0100-00000A000000}" name="Implementation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binationRulesTable" displayName="CombinationRulesTable" ref="A1:K29" totalsRowShown="0">
  <autoFilter ref="A1:K29" xr:uid="{00000000-000C-0000-FFFF-FFFF02000000}"/>
  <tableColumns count="11">
    <tableColumn id="1" xr3:uid="{00000000-0010-0000-0200-000001000000}" name="Phenotype" dataDxfId="12"/>
    <tableColumn id="2" xr3:uid="{00000000-0010-0000-0200-000002000000}" name="Rule_ID"/>
    <tableColumn id="3" xr3:uid="{00000000-0010-0000-0200-000003000000}" name="Priority"/>
    <tableColumn id="4" xr3:uid="{00000000-0010-0000-0200-000004000000}" name="Rule_Type"/>
    <tableColumn id="5" xr3:uid="{00000000-0010-0000-0200-000005000000}" name="Required_Bucket_or_Class_1"/>
    <tableColumn id="6" xr3:uid="{00000000-0010-0000-0200-000006000000}" name="Tier_Requirement_1"/>
    <tableColumn id="7" xr3:uid="{00000000-0010-0000-0200-000007000000}" name="Required_Bucket_or_Class_2"/>
    <tableColumn id="8" xr3:uid="{00000000-0010-0000-0200-000008000000}" name="Additional_Condition_or_Modifier"/>
    <tableColumn id="9" xr3:uid="{00000000-0010-0000-0200-000009000000}" name="Temporal_Required"/>
    <tableColumn id="10" xr3:uid="{00000000-0010-0000-0200-00000A000000}" name="Output_Route"/>
    <tableColumn id="11" xr3:uid="{00000000-0010-0000-0200-00000B000000}" name="Implementation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mpositeRulesTable" displayName="CompositeRulesTable" ref="A1:G8" totalsRowShown="0">
  <tableColumns count="7">
    <tableColumn id="1" xr3:uid="{00000000-0010-0000-0300-000001000000}" name="Source_Sign_ID"/>
    <tableColumn id="2" xr3:uid="{00000000-0010-0000-0300-000002000000}" name="Phenotype"/>
    <tableColumn id="3" xr3:uid="{00000000-0010-0000-0300-000003000000}" name="Derived_Rule_ID"/>
    <tableColumn id="4" xr3:uid="{00000000-0010-0000-0300-000004000000}" name="Rule_Scope"/>
    <tableColumn id="5" xr3:uid="{00000000-0010-0000-0300-000005000000}" name="Definition"/>
    <tableColumn id="6" xr3:uid="{00000000-0010-0000-0300-000006000000}" name="Effect"/>
    <tableColumn id="7" xr3:uid="{00000000-0010-0000-0300-000007000000}" name="Double_Counting_Guardrai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emporalRulesTable" displayName="TemporalRulesTable" ref="A1:H8" totalsRowShown="0">
  <tableColumns count="8">
    <tableColumn id="1" xr3:uid="{00000000-0010-0000-0400-000001000000}" name="Temporal_Rule_ID"/>
    <tableColumn id="2" xr3:uid="{00000000-0010-0000-0400-000002000000}" name="Source_Sign_IDs"/>
    <tableColumn id="3" xr3:uid="{00000000-0010-0000-0400-000003000000}" name="Phenotype"/>
    <tableColumn id="4" xr3:uid="{00000000-0010-0000-0400-000004000000}" name="Pattern"/>
    <tableColumn id="5" xr3:uid="{00000000-0010-0000-0400-000005000000}" name="Logic"/>
    <tableColumn id="6" xr3:uid="{00000000-0010-0000-0400-000006000000}" name="Threshold_Status"/>
    <tableColumn id="7" xr3:uid="{00000000-0010-0000-0400-000007000000}" name="Effect"/>
    <tableColumn id="8" xr3:uid="{00000000-0010-0000-0400-000008000000}" name="Double_Counting_Guardrai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GuardrailsTable" displayName="GuardrailsTable" ref="A1:H27" totalsRowShown="0" headerRowDxfId="11" dataDxfId="10">
  <tableColumns count="8">
    <tableColumn id="1" xr3:uid="{00000000-0010-0000-0500-000001000000}" name="Sign_ID" dataDxfId="9"/>
    <tableColumn id="2" xr3:uid="{00000000-0010-0000-0500-000002000000}" name="Source_Phenotype" dataDxfId="8"/>
    <tableColumn id="3" xr3:uid="{00000000-0010-0000-0500-000003000000}" name="Canonical_Atom_or_Rule_ID" dataDxfId="7"/>
    <tableColumn id="4" xr3:uid="{00000000-0010-0000-0500-000004000000}" name="Reasoning_Bucket" dataDxfId="6"/>
    <tableColumn id="5" xr3:uid="{00000000-0010-0000-0500-000005000000}" name="Route_or_Guardrail" dataDxfId="5"/>
    <tableColumn id="6" xr3:uid="{00000000-0010-0000-0500-000006000000}" name="Feature" dataDxfId="4"/>
    <tableColumn id="7" xr3:uid="{00000000-0010-0000-0500-000007000000}" name="Source_Guardrail_Context" dataDxfId="3"/>
    <tableColumn id="8" xr3:uid="{00000000-0010-0000-0500-000008000000}" name="Implementation_Rul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opLeftCell="A7" zoomScaleNormal="100" zoomScaleSheetLayoutView="100" workbookViewId="0">
      <selection activeCell="B19" sqref="B19"/>
    </sheetView>
  </sheetViews>
  <sheetFormatPr defaultRowHeight="15"/>
  <cols>
    <col min="1" max="1" width="26" customWidth="1"/>
    <col min="2" max="2" width="100" customWidth="1"/>
  </cols>
  <sheetData>
    <row r="1" spans="1:8" ht="27.95" customHeight="1">
      <c r="A1" s="7" t="s">
        <v>0</v>
      </c>
      <c r="B1" s="7"/>
      <c r="C1" s="7"/>
      <c r="D1" s="7"/>
      <c r="E1" s="7"/>
      <c r="F1" s="7"/>
      <c r="G1" s="7"/>
      <c r="H1" s="7"/>
    </row>
    <row r="3" spans="1:8">
      <c r="A3" s="2" t="s">
        <v>1</v>
      </c>
      <c r="B3" s="3" t="s">
        <v>2</v>
      </c>
    </row>
    <row r="4" spans="1:8">
      <c r="A4" s="2" t="s">
        <v>3</v>
      </c>
      <c r="B4" s="3" t="s">
        <v>4</v>
      </c>
    </row>
    <row r="5" spans="1:8">
      <c r="A5" s="2" t="s">
        <v>5</v>
      </c>
      <c r="B5" s="3" t="s">
        <v>6</v>
      </c>
    </row>
    <row r="6" spans="1:8">
      <c r="A6" s="2" t="s">
        <v>7</v>
      </c>
      <c r="B6" s="3" t="s">
        <v>8</v>
      </c>
    </row>
    <row r="7" spans="1:8">
      <c r="A7" s="2" t="s">
        <v>9</v>
      </c>
      <c r="B7" s="3" t="s">
        <v>10</v>
      </c>
    </row>
    <row r="8" spans="1:8">
      <c r="A8" s="2" t="s">
        <v>11</v>
      </c>
      <c r="B8" s="3" t="s">
        <v>12</v>
      </c>
    </row>
    <row r="9" spans="1:8">
      <c r="A9" s="2" t="s">
        <v>13</v>
      </c>
      <c r="B9" s="3" t="s">
        <v>14</v>
      </c>
    </row>
    <row r="10" spans="1:8">
      <c r="A10" s="2" t="s">
        <v>15</v>
      </c>
      <c r="B10" s="3" t="s">
        <v>16</v>
      </c>
    </row>
    <row r="11" spans="1:8">
      <c r="A11" s="2" t="s">
        <v>17</v>
      </c>
      <c r="B11" s="3" t="s">
        <v>18</v>
      </c>
    </row>
    <row r="13" spans="1:8">
      <c r="A13" s="4" t="s">
        <v>19</v>
      </c>
      <c r="B13" s="4" t="s">
        <v>20</v>
      </c>
      <c r="C13" s="4" t="s">
        <v>21</v>
      </c>
      <c r="D13" s="4"/>
      <c r="E13" s="4"/>
      <c r="F13" s="4"/>
      <c r="G13" s="4"/>
      <c r="H13" s="4"/>
    </row>
    <row r="14" spans="1:8" ht="33.75">
      <c r="A14" s="1" t="s">
        <v>22</v>
      </c>
      <c r="B14" s="3" t="s">
        <v>23</v>
      </c>
    </row>
    <row r="15" spans="1:8" ht="33.75">
      <c r="A15" s="1" t="s">
        <v>24</v>
      </c>
      <c r="B15" s="3" t="s">
        <v>25</v>
      </c>
    </row>
    <row r="16" spans="1:8" ht="16.5">
      <c r="A16" s="1" t="s">
        <v>26</v>
      </c>
      <c r="B16" s="3" t="s">
        <v>27</v>
      </c>
    </row>
    <row r="17" spans="1:2" ht="16.5">
      <c r="A17" s="1" t="s">
        <v>28</v>
      </c>
      <c r="B17" s="3" t="s">
        <v>29</v>
      </c>
    </row>
    <row r="18" spans="1:2" ht="16.5">
      <c r="A18" s="1" t="s">
        <v>30</v>
      </c>
      <c r="B18" s="3" t="s">
        <v>31</v>
      </c>
    </row>
    <row r="19" spans="1:2" ht="16.5">
      <c r="A19" s="1" t="s">
        <v>13</v>
      </c>
      <c r="B19" s="3" t="s">
        <v>32</v>
      </c>
    </row>
    <row r="20" spans="1:2">
      <c r="A20" s="1" t="s">
        <v>33</v>
      </c>
      <c r="B20" s="1" t="s">
        <v>34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34"/>
  <sheetViews>
    <sheetView tabSelected="1" zoomScaleNormal="100" zoomScaleSheetLayoutView="100" workbookViewId="0">
      <selection activeCell="C4" sqref="C4"/>
    </sheetView>
  </sheetViews>
  <sheetFormatPr defaultRowHeight="15"/>
  <cols>
    <col min="1" max="1" width="22" customWidth="1"/>
    <col min="2" max="2" width="10" customWidth="1"/>
    <col min="3" max="3" width="38.25" customWidth="1"/>
    <col min="4" max="4" width="20" customWidth="1"/>
    <col min="5" max="5" width="38.125" customWidth="1"/>
    <col min="6" max="6" width="125.125" customWidth="1"/>
    <col min="7" max="7" width="26" customWidth="1"/>
    <col min="8" max="8" width="28" customWidth="1"/>
    <col min="9" max="9" width="24" customWidth="1"/>
    <col min="10" max="10" width="28" customWidth="1"/>
    <col min="11" max="11" width="26" customWidth="1"/>
    <col min="12" max="12" width="23" customWidth="1"/>
    <col min="13" max="13" width="22" customWidth="1"/>
    <col min="14" max="14" width="22.75" customWidth="1"/>
    <col min="15" max="15" width="22" customWidth="1"/>
    <col min="16" max="16" width="22.375" customWidth="1"/>
    <col min="17" max="17" width="28" customWidth="1"/>
    <col min="18" max="18" width="71.375" bestFit="1" customWidth="1"/>
    <col min="19" max="19" width="45" customWidth="1"/>
    <col min="20" max="20" width="26" customWidth="1"/>
    <col min="21" max="22" width="18" customWidth="1"/>
    <col min="23" max="23" width="28" customWidth="1"/>
    <col min="24" max="26" width="45" customWidth="1"/>
    <col min="27" max="27" width="18" customWidth="1"/>
    <col min="28" max="29" width="14" customWidth="1"/>
    <col min="30" max="30" width="22" customWidth="1"/>
    <col min="31" max="32" width="45" customWidth="1"/>
    <col min="33" max="33" width="48" customWidth="1"/>
    <col min="34" max="34" width="14" customWidth="1"/>
  </cols>
  <sheetData>
    <row r="1" spans="1:34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  <c r="R1" s="4" t="s">
        <v>52</v>
      </c>
      <c r="S1" s="4" t="s">
        <v>53</v>
      </c>
      <c r="T1" s="4" t="s">
        <v>54</v>
      </c>
      <c r="U1" s="4" t="s">
        <v>55</v>
      </c>
      <c r="V1" s="4" t="s">
        <v>56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63</v>
      </c>
      <c r="AD1" s="4" t="s">
        <v>64</v>
      </c>
      <c r="AE1" s="4" t="s">
        <v>65</v>
      </c>
      <c r="AF1" s="4" t="s">
        <v>66</v>
      </c>
      <c r="AG1" s="4" t="s">
        <v>67</v>
      </c>
      <c r="AH1" s="4" t="s">
        <v>68</v>
      </c>
    </row>
    <row r="2" spans="1:34" ht="100.5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 t="s">
        <v>75</v>
      </c>
      <c r="H2" s="3" t="s">
        <v>76</v>
      </c>
      <c r="I2" s="3" t="s">
        <v>77</v>
      </c>
      <c r="J2" s="3" t="s">
        <v>78</v>
      </c>
      <c r="K2" s="3" t="s">
        <v>79</v>
      </c>
      <c r="L2" s="3"/>
      <c r="M2" s="3" t="s">
        <v>80</v>
      </c>
      <c r="N2" s="3"/>
      <c r="O2" s="3"/>
      <c r="P2" s="3"/>
      <c r="Q2" s="3"/>
      <c r="R2" s="3" t="s">
        <v>81</v>
      </c>
      <c r="S2" s="3" t="s">
        <v>82</v>
      </c>
      <c r="T2" s="3" t="s">
        <v>83</v>
      </c>
      <c r="U2" s="3" t="s">
        <v>84</v>
      </c>
      <c r="V2" s="3" t="s">
        <v>85</v>
      </c>
      <c r="W2" s="3" t="s">
        <v>86</v>
      </c>
      <c r="X2" s="3" t="s">
        <v>87</v>
      </c>
      <c r="Y2" s="3" t="s">
        <v>88</v>
      </c>
      <c r="Z2" s="3" t="s">
        <v>89</v>
      </c>
      <c r="AA2" s="3" t="s">
        <v>85</v>
      </c>
      <c r="AB2" s="3" t="s">
        <v>90</v>
      </c>
      <c r="AC2" s="3" t="s">
        <v>90</v>
      </c>
      <c r="AD2" s="3" t="s">
        <v>91</v>
      </c>
      <c r="AE2" s="3" t="s">
        <v>92</v>
      </c>
      <c r="AF2" s="3" t="s">
        <v>93</v>
      </c>
      <c r="AG2" s="3" t="s">
        <v>94</v>
      </c>
      <c r="AH2" s="3" t="str">
        <f>IF(AND(E2&lt;&gt;"",D2&lt;&gt;""),"COVERED","MISSING")</f>
        <v>COVERED</v>
      </c>
    </row>
    <row r="3" spans="1:34">
      <c r="A3" s="3" t="s">
        <v>69</v>
      </c>
      <c r="B3" s="3" t="s">
        <v>95</v>
      </c>
      <c r="C3" s="3" t="s">
        <v>96</v>
      </c>
      <c r="D3" s="3" t="s">
        <v>97</v>
      </c>
      <c r="E3" s="3" t="s">
        <v>98</v>
      </c>
      <c r="F3" s="3" t="s">
        <v>99</v>
      </c>
      <c r="G3" s="3" t="s">
        <v>100</v>
      </c>
      <c r="H3" s="3" t="s">
        <v>101</v>
      </c>
      <c r="I3" s="3" t="s">
        <v>102</v>
      </c>
      <c r="J3" s="3" t="s">
        <v>103</v>
      </c>
      <c r="K3" s="3" t="s">
        <v>79</v>
      </c>
      <c r="L3" s="3" t="s">
        <v>104</v>
      </c>
      <c r="M3" s="3" t="s">
        <v>84</v>
      </c>
      <c r="N3" s="3" t="s">
        <v>105</v>
      </c>
      <c r="O3" s="3" t="s">
        <v>106</v>
      </c>
      <c r="P3" s="3" t="s">
        <v>104</v>
      </c>
      <c r="Q3" s="3"/>
      <c r="R3" s="3" t="s">
        <v>107</v>
      </c>
      <c r="S3" s="3" t="s">
        <v>108</v>
      </c>
      <c r="T3" s="3" t="s">
        <v>109</v>
      </c>
      <c r="U3" s="3" t="s">
        <v>84</v>
      </c>
      <c r="V3" s="3" t="s">
        <v>85</v>
      </c>
      <c r="W3" s="3" t="s">
        <v>110</v>
      </c>
      <c r="X3" s="3" t="s">
        <v>111</v>
      </c>
      <c r="Y3" s="3" t="s">
        <v>112</v>
      </c>
      <c r="Z3" s="3" t="s">
        <v>113</v>
      </c>
      <c r="AA3" s="3" t="s">
        <v>85</v>
      </c>
      <c r="AB3" s="3" t="s">
        <v>114</v>
      </c>
      <c r="AC3" s="3" t="s">
        <v>90</v>
      </c>
      <c r="AD3" s="3" t="s">
        <v>91</v>
      </c>
      <c r="AE3" s="3" t="s">
        <v>115</v>
      </c>
      <c r="AF3" s="3" t="s">
        <v>93</v>
      </c>
      <c r="AG3" s="3" t="s">
        <v>116</v>
      </c>
      <c r="AH3" s="3" t="str">
        <f>IF(AND(E3&lt;&gt;"",D3&lt;&gt;""),"COVERED","MISSING")</f>
        <v>COVERED</v>
      </c>
    </row>
    <row r="4" spans="1:34">
      <c r="A4" s="3" t="s">
        <v>69</v>
      </c>
      <c r="B4" s="3" t="s">
        <v>117</v>
      </c>
      <c r="C4" s="3" t="s">
        <v>118</v>
      </c>
      <c r="D4" s="3" t="s">
        <v>119</v>
      </c>
      <c r="E4" s="3" t="s">
        <v>120</v>
      </c>
      <c r="F4" s="3" t="s">
        <v>121</v>
      </c>
      <c r="G4" s="3" t="s">
        <v>122</v>
      </c>
      <c r="H4" s="3" t="s">
        <v>101</v>
      </c>
      <c r="I4" s="3" t="s">
        <v>102</v>
      </c>
      <c r="J4" s="3" t="s">
        <v>123</v>
      </c>
      <c r="K4" s="3" t="s">
        <v>79</v>
      </c>
      <c r="L4" s="3" t="s">
        <v>104</v>
      </c>
      <c r="M4" s="3" t="s">
        <v>84</v>
      </c>
      <c r="N4" s="3" t="s">
        <v>105</v>
      </c>
      <c r="O4" s="3" t="s">
        <v>106</v>
      </c>
      <c r="P4" s="3" t="s">
        <v>104</v>
      </c>
      <c r="Q4" s="3"/>
      <c r="R4" s="3" t="s">
        <v>124</v>
      </c>
      <c r="S4" s="3" t="s">
        <v>125</v>
      </c>
      <c r="T4" s="3" t="s">
        <v>126</v>
      </c>
      <c r="U4" s="3" t="s">
        <v>84</v>
      </c>
      <c r="V4" s="3" t="s">
        <v>85</v>
      </c>
      <c r="W4" s="3" t="s">
        <v>127</v>
      </c>
      <c r="X4" s="3" t="s">
        <v>128</v>
      </c>
      <c r="Y4" s="3" t="s">
        <v>129</v>
      </c>
      <c r="Z4" s="3" t="s">
        <v>130</v>
      </c>
      <c r="AA4" s="3" t="s">
        <v>85</v>
      </c>
      <c r="AB4" s="3" t="s">
        <v>114</v>
      </c>
      <c r="AC4" s="3" t="s">
        <v>90</v>
      </c>
      <c r="AD4" s="3" t="s">
        <v>91</v>
      </c>
      <c r="AE4" s="3" t="s">
        <v>92</v>
      </c>
      <c r="AF4" s="3" t="s">
        <v>131</v>
      </c>
      <c r="AG4" s="3" t="s">
        <v>116</v>
      </c>
      <c r="AH4" s="3" t="str">
        <f>IF(AND(E4&lt;&gt;"",D4&lt;&gt;""),"COVERED","MISSING")</f>
        <v>COVERED</v>
      </c>
    </row>
    <row r="5" spans="1:34">
      <c r="A5" s="3" t="s">
        <v>69</v>
      </c>
      <c r="B5" s="3" t="s">
        <v>132</v>
      </c>
      <c r="C5" s="3" t="s">
        <v>133</v>
      </c>
      <c r="D5" s="3" t="s">
        <v>119</v>
      </c>
      <c r="E5" s="3" t="s">
        <v>120</v>
      </c>
      <c r="F5" s="3" t="s">
        <v>134</v>
      </c>
      <c r="G5" s="3" t="s">
        <v>135</v>
      </c>
      <c r="H5" s="3" t="s">
        <v>101</v>
      </c>
      <c r="I5" s="3" t="s">
        <v>102</v>
      </c>
      <c r="J5" s="3" t="s">
        <v>123</v>
      </c>
      <c r="K5" s="3" t="s">
        <v>79</v>
      </c>
      <c r="L5" s="3" t="s">
        <v>104</v>
      </c>
      <c r="M5" s="3" t="s">
        <v>84</v>
      </c>
      <c r="N5" s="3" t="s">
        <v>105</v>
      </c>
      <c r="O5" s="3" t="s">
        <v>106</v>
      </c>
      <c r="P5" s="3" t="s">
        <v>104</v>
      </c>
      <c r="Q5" s="3"/>
      <c r="R5" s="3" t="s">
        <v>136</v>
      </c>
      <c r="S5" s="3" t="s">
        <v>137</v>
      </c>
      <c r="T5" s="3" t="s">
        <v>138</v>
      </c>
      <c r="U5" s="3" t="s">
        <v>84</v>
      </c>
      <c r="V5" s="3" t="s">
        <v>85</v>
      </c>
      <c r="W5" s="3" t="s">
        <v>139</v>
      </c>
      <c r="X5" s="3" t="s">
        <v>140</v>
      </c>
      <c r="Y5" s="3" t="s">
        <v>141</v>
      </c>
      <c r="Z5" s="3" t="s">
        <v>142</v>
      </c>
      <c r="AA5" s="3" t="s">
        <v>85</v>
      </c>
      <c r="AB5" s="3" t="s">
        <v>114</v>
      </c>
      <c r="AC5" s="3" t="s">
        <v>90</v>
      </c>
      <c r="AD5" s="3" t="s">
        <v>91</v>
      </c>
      <c r="AE5" s="3" t="s">
        <v>143</v>
      </c>
      <c r="AF5" s="3" t="s">
        <v>93</v>
      </c>
      <c r="AG5" s="3" t="s">
        <v>116</v>
      </c>
      <c r="AH5" s="3" t="str">
        <f>IF(AND(E5&lt;&gt;"",D5&lt;&gt;""),"COVERED","MISSING")</f>
        <v>COVERED</v>
      </c>
    </row>
    <row r="6" spans="1:34">
      <c r="A6" s="3" t="s">
        <v>69</v>
      </c>
      <c r="B6" s="3" t="s">
        <v>144</v>
      </c>
      <c r="C6" s="3" t="s">
        <v>145</v>
      </c>
      <c r="D6" s="3" t="s">
        <v>119</v>
      </c>
      <c r="E6" s="3" t="s">
        <v>120</v>
      </c>
      <c r="F6" s="3" t="s">
        <v>146</v>
      </c>
      <c r="G6" s="3" t="s">
        <v>147</v>
      </c>
      <c r="H6" s="3" t="s">
        <v>101</v>
      </c>
      <c r="I6" s="3" t="s">
        <v>102</v>
      </c>
      <c r="J6" s="3" t="s">
        <v>123</v>
      </c>
      <c r="K6" s="3" t="s">
        <v>148</v>
      </c>
      <c r="L6" s="3" t="s">
        <v>105</v>
      </c>
      <c r="M6" s="3" t="s">
        <v>84</v>
      </c>
      <c r="N6" s="3" t="s">
        <v>105</v>
      </c>
      <c r="O6" s="3" t="s">
        <v>106</v>
      </c>
      <c r="P6" s="3" t="s">
        <v>105</v>
      </c>
      <c r="Q6" s="3"/>
      <c r="R6" s="3" t="s">
        <v>149</v>
      </c>
      <c r="S6" s="3" t="s">
        <v>150</v>
      </c>
      <c r="T6" s="3" t="s">
        <v>151</v>
      </c>
      <c r="U6" s="3" t="s">
        <v>84</v>
      </c>
      <c r="V6" s="3" t="s">
        <v>85</v>
      </c>
      <c r="W6" s="3" t="s">
        <v>152</v>
      </c>
      <c r="X6" s="3" t="s">
        <v>153</v>
      </c>
      <c r="Y6" s="3" t="s">
        <v>154</v>
      </c>
      <c r="Z6" s="3" t="s">
        <v>155</v>
      </c>
      <c r="AA6" s="3" t="s">
        <v>85</v>
      </c>
      <c r="AB6" s="3" t="s">
        <v>114</v>
      </c>
      <c r="AC6" s="3" t="s">
        <v>156</v>
      </c>
      <c r="AD6" s="3" t="s">
        <v>91</v>
      </c>
      <c r="AE6" s="3" t="s">
        <v>157</v>
      </c>
      <c r="AF6" s="3" t="s">
        <v>115</v>
      </c>
      <c r="AG6" s="3" t="s">
        <v>116</v>
      </c>
      <c r="AH6" s="3" t="str">
        <f>IF(AND(E6&lt;&gt;"",D6&lt;&gt;""),"COVERED","MISSING")</f>
        <v>COVERED</v>
      </c>
    </row>
    <row r="7" spans="1:34">
      <c r="A7" s="3" t="s">
        <v>69</v>
      </c>
      <c r="B7" s="3" t="s">
        <v>158</v>
      </c>
      <c r="C7" s="3" t="s">
        <v>159</v>
      </c>
      <c r="D7" s="3" t="s">
        <v>119</v>
      </c>
      <c r="E7" s="3" t="s">
        <v>120</v>
      </c>
      <c r="F7" s="3" t="s">
        <v>160</v>
      </c>
      <c r="G7" s="3" t="s">
        <v>161</v>
      </c>
      <c r="H7" s="3" t="s">
        <v>162</v>
      </c>
      <c r="I7" s="3" t="s">
        <v>163</v>
      </c>
      <c r="J7" s="3" t="s">
        <v>164</v>
      </c>
      <c r="K7" s="3" t="s">
        <v>165</v>
      </c>
      <c r="L7" s="3" t="s">
        <v>105</v>
      </c>
      <c r="M7" s="3" t="s">
        <v>84</v>
      </c>
      <c r="N7" s="3" t="s">
        <v>105</v>
      </c>
      <c r="O7" s="3" t="s">
        <v>106</v>
      </c>
      <c r="P7" s="3" t="s">
        <v>105</v>
      </c>
      <c r="Q7" s="3"/>
      <c r="R7" s="3" t="s">
        <v>166</v>
      </c>
      <c r="S7" s="3" t="s">
        <v>167</v>
      </c>
      <c r="T7" s="3" t="s">
        <v>168</v>
      </c>
      <c r="U7" s="3" t="s">
        <v>84</v>
      </c>
      <c r="V7" s="3" t="s">
        <v>85</v>
      </c>
      <c r="W7" s="3" t="s">
        <v>169</v>
      </c>
      <c r="X7" s="3" t="s">
        <v>170</v>
      </c>
      <c r="Y7" s="3" t="s">
        <v>171</v>
      </c>
      <c r="Z7" s="3" t="s">
        <v>172</v>
      </c>
      <c r="AA7" s="3" t="s">
        <v>85</v>
      </c>
      <c r="AB7" s="3" t="s">
        <v>114</v>
      </c>
      <c r="AC7" s="3" t="s">
        <v>114</v>
      </c>
      <c r="AD7" s="3" t="s">
        <v>173</v>
      </c>
      <c r="AE7" s="3" t="s">
        <v>174</v>
      </c>
      <c r="AF7" s="3" t="s">
        <v>175</v>
      </c>
      <c r="AG7" s="3" t="s">
        <v>116</v>
      </c>
      <c r="AH7" s="3" t="str">
        <f>IF(AND(E7&lt;&gt;"",D7&lt;&gt;""),"COVERED","MISSING")</f>
        <v>COVERED</v>
      </c>
    </row>
    <row r="8" spans="1:34">
      <c r="A8" s="3" t="s">
        <v>69</v>
      </c>
      <c r="B8" s="3" t="s">
        <v>176</v>
      </c>
      <c r="C8" s="3" t="s">
        <v>177</v>
      </c>
      <c r="D8" s="3" t="s">
        <v>119</v>
      </c>
      <c r="E8" s="3" t="s">
        <v>120</v>
      </c>
      <c r="F8" s="3" t="s">
        <v>178</v>
      </c>
      <c r="G8" s="3" t="s">
        <v>179</v>
      </c>
      <c r="H8" s="3" t="s">
        <v>162</v>
      </c>
      <c r="I8" s="3" t="s">
        <v>163</v>
      </c>
      <c r="J8" s="3" t="s">
        <v>180</v>
      </c>
      <c r="K8" s="3" t="s">
        <v>181</v>
      </c>
      <c r="L8" s="3" t="s">
        <v>105</v>
      </c>
      <c r="M8" s="3" t="s">
        <v>84</v>
      </c>
      <c r="N8" s="3" t="s">
        <v>104</v>
      </c>
      <c r="O8" s="3" t="s">
        <v>106</v>
      </c>
      <c r="P8" s="3" t="s">
        <v>105</v>
      </c>
      <c r="Q8" s="3"/>
      <c r="R8" s="3" t="s">
        <v>182</v>
      </c>
      <c r="S8" s="3" t="s">
        <v>183</v>
      </c>
      <c r="T8" s="3" t="s">
        <v>184</v>
      </c>
      <c r="U8" s="3" t="s">
        <v>84</v>
      </c>
      <c r="V8" s="3" t="s">
        <v>85</v>
      </c>
      <c r="W8" s="3" t="s">
        <v>185</v>
      </c>
      <c r="X8" s="3" t="s">
        <v>186</v>
      </c>
      <c r="Y8" s="3" t="s">
        <v>187</v>
      </c>
      <c r="Z8" s="3" t="s">
        <v>188</v>
      </c>
      <c r="AA8" s="3" t="s">
        <v>85</v>
      </c>
      <c r="AB8" s="3" t="s">
        <v>90</v>
      </c>
      <c r="AC8" s="3" t="s">
        <v>189</v>
      </c>
      <c r="AD8" s="3" t="s">
        <v>173</v>
      </c>
      <c r="AE8" s="3" t="s">
        <v>190</v>
      </c>
      <c r="AF8" s="3" t="s">
        <v>191</v>
      </c>
      <c r="AG8" s="3" t="s">
        <v>116</v>
      </c>
      <c r="AH8" s="3" t="str">
        <f>IF(AND(E8&lt;&gt;"",D8&lt;&gt;""),"COVERED","MISSING")</f>
        <v>COVERED</v>
      </c>
    </row>
    <row r="9" spans="1:34">
      <c r="A9" s="3" t="s">
        <v>69</v>
      </c>
      <c r="B9" s="3" t="s">
        <v>192</v>
      </c>
      <c r="C9" s="3" t="s">
        <v>193</v>
      </c>
      <c r="D9" s="3" t="s">
        <v>119</v>
      </c>
      <c r="E9" s="3" t="s">
        <v>120</v>
      </c>
      <c r="F9" s="3" t="s">
        <v>194</v>
      </c>
      <c r="G9" s="3" t="s">
        <v>161</v>
      </c>
      <c r="H9" s="3" t="s">
        <v>162</v>
      </c>
      <c r="I9" s="3" t="s">
        <v>163</v>
      </c>
      <c r="J9" s="3" t="s">
        <v>195</v>
      </c>
      <c r="K9" s="3" t="s">
        <v>181</v>
      </c>
      <c r="L9" s="3" t="s">
        <v>105</v>
      </c>
      <c r="M9" s="3" t="s">
        <v>84</v>
      </c>
      <c r="N9" s="3" t="s">
        <v>104</v>
      </c>
      <c r="O9" s="3" t="s">
        <v>106</v>
      </c>
      <c r="P9" s="3" t="s">
        <v>105</v>
      </c>
      <c r="Q9" s="3"/>
      <c r="R9" s="3" t="s">
        <v>196</v>
      </c>
      <c r="S9" s="3" t="s">
        <v>197</v>
      </c>
      <c r="T9" s="3" t="s">
        <v>198</v>
      </c>
      <c r="U9" s="3" t="s">
        <v>84</v>
      </c>
      <c r="V9" s="3" t="s">
        <v>85</v>
      </c>
      <c r="W9" s="3" t="s">
        <v>199</v>
      </c>
      <c r="X9" s="3" t="s">
        <v>200</v>
      </c>
      <c r="Y9" s="3" t="s">
        <v>201</v>
      </c>
      <c r="Z9" s="3" t="s">
        <v>202</v>
      </c>
      <c r="AA9" s="3" t="s">
        <v>85</v>
      </c>
      <c r="AB9" s="3" t="s">
        <v>156</v>
      </c>
      <c r="AC9" s="3" t="s">
        <v>114</v>
      </c>
      <c r="AD9" s="3" t="s">
        <v>173</v>
      </c>
      <c r="AE9" s="3" t="s">
        <v>203</v>
      </c>
      <c r="AF9" s="3" t="s">
        <v>190</v>
      </c>
      <c r="AG9" s="3" t="s">
        <v>116</v>
      </c>
      <c r="AH9" s="3" t="str">
        <f>IF(AND(E9&lt;&gt;"",D9&lt;&gt;""),"COVERED","MISSING")</f>
        <v>COVERED</v>
      </c>
    </row>
    <row r="10" spans="1:34">
      <c r="A10" s="3" t="s">
        <v>69</v>
      </c>
      <c r="B10" s="3" t="s">
        <v>204</v>
      </c>
      <c r="C10" s="3" t="s">
        <v>205</v>
      </c>
      <c r="D10" s="3" t="s">
        <v>119</v>
      </c>
      <c r="E10" s="3" t="s">
        <v>120</v>
      </c>
      <c r="F10" s="3" t="s">
        <v>206</v>
      </c>
      <c r="G10" s="3" t="s">
        <v>207</v>
      </c>
      <c r="H10" s="3" t="s">
        <v>208</v>
      </c>
      <c r="I10" s="3" t="s">
        <v>209</v>
      </c>
      <c r="J10" s="3" t="s">
        <v>210</v>
      </c>
      <c r="K10" s="3" t="s">
        <v>211</v>
      </c>
      <c r="L10" s="3" t="s">
        <v>104</v>
      </c>
      <c r="M10" s="3" t="s">
        <v>212</v>
      </c>
      <c r="N10" s="3" t="s">
        <v>104</v>
      </c>
      <c r="O10" s="3" t="s">
        <v>213</v>
      </c>
      <c r="P10" s="3" t="s">
        <v>104</v>
      </c>
      <c r="Q10" s="3"/>
      <c r="R10" s="3" t="s">
        <v>214</v>
      </c>
      <c r="S10" s="3" t="s">
        <v>215</v>
      </c>
      <c r="T10" s="3" t="s">
        <v>216</v>
      </c>
      <c r="U10" s="3" t="s">
        <v>217</v>
      </c>
      <c r="V10" s="3" t="s">
        <v>218</v>
      </c>
      <c r="W10" s="3" t="s">
        <v>219</v>
      </c>
      <c r="X10" s="3" t="s">
        <v>220</v>
      </c>
      <c r="Y10" s="3" t="s">
        <v>221</v>
      </c>
      <c r="Z10" s="3" t="s">
        <v>222</v>
      </c>
      <c r="AA10" s="3" t="s">
        <v>85</v>
      </c>
      <c r="AB10" s="3" t="s">
        <v>90</v>
      </c>
      <c r="AC10" s="3" t="s">
        <v>156</v>
      </c>
      <c r="AD10" s="3" t="s">
        <v>173</v>
      </c>
      <c r="AE10" s="3" t="s">
        <v>190</v>
      </c>
      <c r="AF10" s="3" t="s">
        <v>203</v>
      </c>
      <c r="AG10" s="3" t="s">
        <v>116</v>
      </c>
      <c r="AH10" s="3" t="str">
        <f>IF(AND(E10&lt;&gt;"",D10&lt;&gt;""),"COVERED","MISSING")</f>
        <v>COVERED</v>
      </c>
    </row>
    <row r="11" spans="1:34">
      <c r="A11" s="3" t="s">
        <v>69</v>
      </c>
      <c r="B11" s="3" t="s">
        <v>223</v>
      </c>
      <c r="C11" s="3" t="s">
        <v>224</v>
      </c>
      <c r="D11" s="3" t="s">
        <v>119</v>
      </c>
      <c r="E11" s="3" t="s">
        <v>120</v>
      </c>
      <c r="F11" s="3" t="s">
        <v>225</v>
      </c>
      <c r="G11" s="3" t="s">
        <v>226</v>
      </c>
      <c r="H11" s="3" t="s">
        <v>162</v>
      </c>
      <c r="I11" s="3" t="s">
        <v>163</v>
      </c>
      <c r="J11" s="3" t="s">
        <v>195</v>
      </c>
      <c r="K11" s="3" t="s">
        <v>227</v>
      </c>
      <c r="L11" s="3" t="s">
        <v>104</v>
      </c>
      <c r="M11" s="3" t="s">
        <v>84</v>
      </c>
      <c r="N11" s="3" t="s">
        <v>104</v>
      </c>
      <c r="O11" s="3" t="s">
        <v>106</v>
      </c>
      <c r="P11" s="3" t="s">
        <v>104</v>
      </c>
      <c r="Q11" s="3"/>
      <c r="R11" s="3" t="s">
        <v>228</v>
      </c>
      <c r="S11" s="3" t="s">
        <v>229</v>
      </c>
      <c r="T11" s="3" t="s">
        <v>230</v>
      </c>
      <c r="U11" s="3" t="s">
        <v>231</v>
      </c>
      <c r="V11" s="3" t="s">
        <v>85</v>
      </c>
      <c r="W11" s="3" t="s">
        <v>232</v>
      </c>
      <c r="X11" s="3" t="s">
        <v>233</v>
      </c>
      <c r="Y11" s="3" t="s">
        <v>234</v>
      </c>
      <c r="Z11" s="3" t="s">
        <v>235</v>
      </c>
      <c r="AA11" s="3" t="s">
        <v>85</v>
      </c>
      <c r="AB11" s="3" t="s">
        <v>90</v>
      </c>
      <c r="AC11" s="3" t="s">
        <v>189</v>
      </c>
      <c r="AD11" s="3" t="s">
        <v>236</v>
      </c>
      <c r="AE11" s="3" t="s">
        <v>191</v>
      </c>
      <c r="AF11" s="3" t="s">
        <v>237</v>
      </c>
      <c r="AG11" s="3" t="s">
        <v>116</v>
      </c>
      <c r="AH11" s="3" t="str">
        <f>IF(AND(E11&lt;&gt;"",D11&lt;&gt;""),"COVERED","MISSING")</f>
        <v>COVERED</v>
      </c>
    </row>
    <row r="12" spans="1:34">
      <c r="A12" s="3" t="s">
        <v>69</v>
      </c>
      <c r="B12" s="3" t="s">
        <v>238</v>
      </c>
      <c r="C12" s="3" t="s">
        <v>239</v>
      </c>
      <c r="D12" s="3" t="s">
        <v>119</v>
      </c>
      <c r="E12" s="3" t="s">
        <v>120</v>
      </c>
      <c r="F12" s="3" t="s">
        <v>240</v>
      </c>
      <c r="G12" s="3" t="s">
        <v>241</v>
      </c>
      <c r="H12" s="3" t="s">
        <v>162</v>
      </c>
      <c r="I12" s="3" t="s">
        <v>163</v>
      </c>
      <c r="J12" s="3" t="s">
        <v>242</v>
      </c>
      <c r="K12" s="3" t="s">
        <v>243</v>
      </c>
      <c r="L12" s="3" t="s">
        <v>104</v>
      </c>
      <c r="M12" s="3" t="s">
        <v>84</v>
      </c>
      <c r="N12" s="3" t="s">
        <v>104</v>
      </c>
      <c r="O12" s="3" t="s">
        <v>106</v>
      </c>
      <c r="P12" s="3" t="s">
        <v>104</v>
      </c>
      <c r="Q12" s="3"/>
      <c r="R12" s="3" t="s">
        <v>244</v>
      </c>
      <c r="S12" s="3" t="s">
        <v>245</v>
      </c>
      <c r="T12" s="3" t="s">
        <v>246</v>
      </c>
      <c r="U12" s="3" t="s">
        <v>84</v>
      </c>
      <c r="V12" s="3" t="s">
        <v>85</v>
      </c>
      <c r="W12" s="3" t="s">
        <v>247</v>
      </c>
      <c r="X12" s="3" t="s">
        <v>248</v>
      </c>
      <c r="Y12" s="3" t="s">
        <v>249</v>
      </c>
      <c r="Z12" s="3" t="s">
        <v>250</v>
      </c>
      <c r="AA12" s="3" t="s">
        <v>85</v>
      </c>
      <c r="AB12" s="3" t="s">
        <v>156</v>
      </c>
      <c r="AC12" s="3" t="s">
        <v>114</v>
      </c>
      <c r="AD12" s="3" t="s">
        <v>236</v>
      </c>
      <c r="AE12" s="3" t="s">
        <v>251</v>
      </c>
      <c r="AF12" s="3" t="s">
        <v>191</v>
      </c>
      <c r="AG12" s="3" t="s">
        <v>116</v>
      </c>
      <c r="AH12" s="3" t="str">
        <f>IF(AND(E12&lt;&gt;"",D12&lt;&gt;""),"COVERED","MISSING")</f>
        <v>COVERED</v>
      </c>
    </row>
    <row r="13" spans="1:34">
      <c r="A13" s="3" t="s">
        <v>69</v>
      </c>
      <c r="B13" s="3" t="s">
        <v>252</v>
      </c>
      <c r="C13" s="3" t="s">
        <v>253</v>
      </c>
      <c r="D13" s="3" t="s">
        <v>119</v>
      </c>
      <c r="E13" s="3" t="s">
        <v>120</v>
      </c>
      <c r="F13" s="3" t="s">
        <v>254</v>
      </c>
      <c r="G13" s="3" t="s">
        <v>255</v>
      </c>
      <c r="H13" s="3" t="s">
        <v>101</v>
      </c>
      <c r="I13" s="3" t="s">
        <v>102</v>
      </c>
      <c r="J13" s="3" t="s">
        <v>256</v>
      </c>
      <c r="K13" s="3" t="s">
        <v>257</v>
      </c>
      <c r="L13" s="3" t="s">
        <v>258</v>
      </c>
      <c r="M13" s="3" t="s">
        <v>80</v>
      </c>
      <c r="N13" s="3" t="s">
        <v>258</v>
      </c>
      <c r="O13" s="3" t="s">
        <v>106</v>
      </c>
      <c r="P13" s="3" t="s">
        <v>258</v>
      </c>
      <c r="Q13" s="3"/>
      <c r="R13" s="3" t="s">
        <v>259</v>
      </c>
      <c r="S13" s="3" t="s">
        <v>260</v>
      </c>
      <c r="T13" s="3" t="s">
        <v>261</v>
      </c>
      <c r="U13" s="3" t="s">
        <v>84</v>
      </c>
      <c r="V13" s="3" t="s">
        <v>85</v>
      </c>
      <c r="W13" s="3" t="s">
        <v>262</v>
      </c>
      <c r="X13" s="3" t="s">
        <v>263</v>
      </c>
      <c r="Y13" s="3" t="s">
        <v>264</v>
      </c>
      <c r="Z13" s="3" t="s">
        <v>265</v>
      </c>
      <c r="AA13" s="3" t="s">
        <v>266</v>
      </c>
      <c r="AB13" s="3" t="s">
        <v>267</v>
      </c>
      <c r="AC13" s="3" t="s">
        <v>114</v>
      </c>
      <c r="AD13" s="3" t="s">
        <v>236</v>
      </c>
      <c r="AE13" s="3" t="s">
        <v>268</v>
      </c>
      <c r="AF13" s="3" t="s">
        <v>93</v>
      </c>
      <c r="AG13" s="3" t="s">
        <v>116</v>
      </c>
      <c r="AH13" s="3" t="str">
        <f>IF(AND(E13&lt;&gt;"",D13&lt;&gt;""),"COVERED","MISSING")</f>
        <v>COVERED</v>
      </c>
    </row>
    <row r="14" spans="1:34">
      <c r="A14" s="3" t="s">
        <v>69</v>
      </c>
      <c r="B14" s="3" t="s">
        <v>269</v>
      </c>
      <c r="C14" s="3" t="s">
        <v>270</v>
      </c>
      <c r="D14" s="3" t="s">
        <v>119</v>
      </c>
      <c r="E14" s="3" t="s">
        <v>120</v>
      </c>
      <c r="F14" s="3" t="s">
        <v>271</v>
      </c>
      <c r="G14" s="3" t="s">
        <v>272</v>
      </c>
      <c r="H14" s="3" t="s">
        <v>162</v>
      </c>
      <c r="I14" s="3" t="s">
        <v>163</v>
      </c>
      <c r="J14" s="3" t="s">
        <v>273</v>
      </c>
      <c r="K14" s="3" t="s">
        <v>274</v>
      </c>
      <c r="L14" s="3" t="s">
        <v>105</v>
      </c>
      <c r="M14" s="3" t="s">
        <v>84</v>
      </c>
      <c r="N14" s="3" t="s">
        <v>105</v>
      </c>
      <c r="O14" s="3" t="s">
        <v>106</v>
      </c>
      <c r="P14" s="3" t="s">
        <v>105</v>
      </c>
      <c r="Q14" s="3"/>
      <c r="R14" s="3" t="s">
        <v>275</v>
      </c>
      <c r="S14" s="3" t="s">
        <v>276</v>
      </c>
      <c r="T14" s="3" t="s">
        <v>277</v>
      </c>
      <c r="U14" s="3" t="s">
        <v>84</v>
      </c>
      <c r="V14" s="3" t="s">
        <v>85</v>
      </c>
      <c r="W14" s="3" t="s">
        <v>278</v>
      </c>
      <c r="X14" s="3" t="s">
        <v>279</v>
      </c>
      <c r="Y14" s="3" t="s">
        <v>280</v>
      </c>
      <c r="Z14" s="3" t="s">
        <v>281</v>
      </c>
      <c r="AA14" s="3" t="s">
        <v>85</v>
      </c>
      <c r="AB14" s="3" t="s">
        <v>114</v>
      </c>
      <c r="AC14" s="3" t="s">
        <v>267</v>
      </c>
      <c r="AD14" s="3" t="s">
        <v>236</v>
      </c>
      <c r="AE14" s="3" t="s">
        <v>282</v>
      </c>
      <c r="AF14" s="3" t="s">
        <v>283</v>
      </c>
      <c r="AG14" s="3" t="s">
        <v>116</v>
      </c>
      <c r="AH14" s="3" t="str">
        <f>IF(AND(E14&lt;&gt;"",D14&lt;&gt;""),"COVERED","MISSING")</f>
        <v>COVERED</v>
      </c>
    </row>
    <row r="15" spans="1:34">
      <c r="A15" s="3" t="s">
        <v>69</v>
      </c>
      <c r="B15" s="3" t="s">
        <v>284</v>
      </c>
      <c r="C15" s="3" t="s">
        <v>285</v>
      </c>
      <c r="D15" s="3" t="s">
        <v>119</v>
      </c>
      <c r="E15" s="3" t="s">
        <v>120</v>
      </c>
      <c r="F15" s="3" t="s">
        <v>286</v>
      </c>
      <c r="G15" s="3" t="s">
        <v>161</v>
      </c>
      <c r="H15" s="3" t="s">
        <v>162</v>
      </c>
      <c r="I15" s="3" t="s">
        <v>163</v>
      </c>
      <c r="J15" s="3" t="s">
        <v>287</v>
      </c>
      <c r="K15" s="3" t="s">
        <v>227</v>
      </c>
      <c r="L15" s="3" t="s">
        <v>105</v>
      </c>
      <c r="M15" s="3" t="s">
        <v>84</v>
      </c>
      <c r="N15" s="3" t="s">
        <v>105</v>
      </c>
      <c r="O15" s="3" t="s">
        <v>106</v>
      </c>
      <c r="P15" s="3" t="s">
        <v>105</v>
      </c>
      <c r="Q15" s="3"/>
      <c r="R15" s="3" t="s">
        <v>288</v>
      </c>
      <c r="S15" s="3" t="s">
        <v>289</v>
      </c>
      <c r="T15" s="3" t="s">
        <v>290</v>
      </c>
      <c r="U15" s="3" t="s">
        <v>84</v>
      </c>
      <c r="V15" s="3" t="s">
        <v>85</v>
      </c>
      <c r="W15" s="3" t="s">
        <v>291</v>
      </c>
      <c r="X15" s="3" t="s">
        <v>292</v>
      </c>
      <c r="Y15" s="3" t="s">
        <v>293</v>
      </c>
      <c r="Z15" s="3" t="s">
        <v>294</v>
      </c>
      <c r="AA15" s="3" t="s">
        <v>85</v>
      </c>
      <c r="AB15" s="3" t="s">
        <v>114</v>
      </c>
      <c r="AC15" s="3" t="s">
        <v>189</v>
      </c>
      <c r="AD15" s="3" t="s">
        <v>236</v>
      </c>
      <c r="AE15" s="3" t="s">
        <v>203</v>
      </c>
      <c r="AF15" s="3" t="s">
        <v>295</v>
      </c>
      <c r="AG15" s="3" t="s">
        <v>116</v>
      </c>
      <c r="AH15" s="3" t="str">
        <f>IF(AND(E15&lt;&gt;"",D15&lt;&gt;""),"COVERED","MISSING")</f>
        <v>COVERED</v>
      </c>
    </row>
    <row r="16" spans="1:34">
      <c r="A16" s="3" t="s">
        <v>69</v>
      </c>
      <c r="B16" s="3" t="s">
        <v>296</v>
      </c>
      <c r="C16" s="3" t="s">
        <v>297</v>
      </c>
      <c r="D16" s="3" t="s">
        <v>119</v>
      </c>
      <c r="E16" s="3" t="s">
        <v>120</v>
      </c>
      <c r="F16" s="3" t="s">
        <v>298</v>
      </c>
      <c r="G16" s="3" t="s">
        <v>226</v>
      </c>
      <c r="H16" s="3" t="s">
        <v>162</v>
      </c>
      <c r="I16" s="3" t="s">
        <v>163</v>
      </c>
      <c r="J16" s="3" t="s">
        <v>195</v>
      </c>
      <c r="K16" s="3" t="s">
        <v>299</v>
      </c>
      <c r="L16" s="3" t="s">
        <v>105</v>
      </c>
      <c r="M16" s="3" t="s">
        <v>84</v>
      </c>
      <c r="N16" s="3" t="s">
        <v>104</v>
      </c>
      <c r="O16" s="3" t="s">
        <v>106</v>
      </c>
      <c r="P16" s="3" t="s">
        <v>105</v>
      </c>
      <c r="Q16" s="3"/>
      <c r="R16" s="3" t="s">
        <v>182</v>
      </c>
      <c r="S16" s="3" t="s">
        <v>300</v>
      </c>
      <c r="T16" s="3" t="s">
        <v>301</v>
      </c>
      <c r="U16" s="3" t="s">
        <v>231</v>
      </c>
      <c r="V16" s="3" t="s">
        <v>85</v>
      </c>
      <c r="W16" s="3" t="s">
        <v>302</v>
      </c>
      <c r="X16" s="3" t="s">
        <v>303</v>
      </c>
      <c r="Y16" s="3" t="s">
        <v>304</v>
      </c>
      <c r="Z16" s="3" t="s">
        <v>305</v>
      </c>
      <c r="AA16" s="3" t="s">
        <v>85</v>
      </c>
      <c r="AB16" s="3" t="s">
        <v>156</v>
      </c>
      <c r="AC16" s="3" t="s">
        <v>306</v>
      </c>
      <c r="AD16" s="3" t="s">
        <v>236</v>
      </c>
      <c r="AE16" s="3" t="s">
        <v>307</v>
      </c>
      <c r="AF16" s="3" t="s">
        <v>203</v>
      </c>
      <c r="AG16" s="3" t="s">
        <v>116</v>
      </c>
      <c r="AH16" s="3" t="str">
        <f>IF(AND(E16&lt;&gt;"",D16&lt;&gt;""),"COVERED","MISSING")</f>
        <v>COVERED</v>
      </c>
    </row>
    <row r="17" spans="1:34">
      <c r="A17" s="3" t="s">
        <v>69</v>
      </c>
      <c r="B17" s="3" t="s">
        <v>308</v>
      </c>
      <c r="C17" s="3" t="s">
        <v>309</v>
      </c>
      <c r="D17" s="3" t="s">
        <v>119</v>
      </c>
      <c r="E17" s="3" t="s">
        <v>120</v>
      </c>
      <c r="F17" s="3" t="s">
        <v>310</v>
      </c>
      <c r="G17" s="3" t="s">
        <v>311</v>
      </c>
      <c r="H17" s="3" t="s">
        <v>162</v>
      </c>
      <c r="I17" s="3" t="s">
        <v>209</v>
      </c>
      <c r="J17" s="3" t="s">
        <v>312</v>
      </c>
      <c r="K17" s="3" t="s">
        <v>313</v>
      </c>
      <c r="L17" s="3" t="s">
        <v>105</v>
      </c>
      <c r="M17" s="3" t="s">
        <v>212</v>
      </c>
      <c r="N17" s="3" t="s">
        <v>258</v>
      </c>
      <c r="O17" s="3" t="s">
        <v>213</v>
      </c>
      <c r="P17" s="3" t="s">
        <v>105</v>
      </c>
      <c r="Q17" s="3"/>
      <c r="R17" s="3" t="s">
        <v>314</v>
      </c>
      <c r="S17" s="3" t="s">
        <v>315</v>
      </c>
      <c r="T17" s="3" t="s">
        <v>316</v>
      </c>
      <c r="U17" s="3" t="s">
        <v>84</v>
      </c>
      <c r="V17" s="3" t="s">
        <v>218</v>
      </c>
      <c r="W17" s="3" t="s">
        <v>317</v>
      </c>
      <c r="X17" s="3" t="s">
        <v>318</v>
      </c>
      <c r="Y17" s="3" t="s">
        <v>319</v>
      </c>
      <c r="Z17" s="3" t="s">
        <v>320</v>
      </c>
      <c r="AA17" s="3" t="s">
        <v>218</v>
      </c>
      <c r="AB17" s="3" t="s">
        <v>189</v>
      </c>
      <c r="AC17" s="3" t="s">
        <v>189</v>
      </c>
      <c r="AD17" s="3" t="s">
        <v>236</v>
      </c>
      <c r="AE17" s="3" t="s">
        <v>295</v>
      </c>
      <c r="AF17" s="3" t="s">
        <v>203</v>
      </c>
      <c r="AG17" s="3" t="s">
        <v>116</v>
      </c>
      <c r="AH17" s="3" t="str">
        <f>IF(AND(E17&lt;&gt;"",D17&lt;&gt;""),"COVERED","MISSING")</f>
        <v>COVERED</v>
      </c>
    </row>
    <row r="18" spans="1:34">
      <c r="A18" s="3" t="s">
        <v>69</v>
      </c>
      <c r="B18" s="3" t="s">
        <v>321</v>
      </c>
      <c r="C18" s="3" t="s">
        <v>322</v>
      </c>
      <c r="D18" s="3" t="s">
        <v>119</v>
      </c>
      <c r="E18" s="3" t="s">
        <v>120</v>
      </c>
      <c r="F18" s="3" t="s">
        <v>323</v>
      </c>
      <c r="G18" s="3" t="s">
        <v>324</v>
      </c>
      <c r="H18" s="3" t="s">
        <v>162</v>
      </c>
      <c r="I18" s="3" t="s">
        <v>163</v>
      </c>
      <c r="J18" s="3" t="s">
        <v>325</v>
      </c>
      <c r="K18" s="3" t="s">
        <v>326</v>
      </c>
      <c r="L18" s="3" t="s">
        <v>258</v>
      </c>
      <c r="M18" s="3" t="s">
        <v>80</v>
      </c>
      <c r="N18" s="3" t="s">
        <v>258</v>
      </c>
      <c r="O18" s="3" t="s">
        <v>106</v>
      </c>
      <c r="P18" s="3" t="s">
        <v>258</v>
      </c>
      <c r="Q18" s="3"/>
      <c r="R18" s="3" t="s">
        <v>327</v>
      </c>
      <c r="S18" s="3" t="s">
        <v>328</v>
      </c>
      <c r="T18" s="3" t="s">
        <v>329</v>
      </c>
      <c r="U18" s="3" t="s">
        <v>330</v>
      </c>
      <c r="V18" s="3" t="s">
        <v>218</v>
      </c>
      <c r="W18" s="3" t="s">
        <v>331</v>
      </c>
      <c r="X18" s="3" t="s">
        <v>332</v>
      </c>
      <c r="Y18" s="3" t="s">
        <v>333</v>
      </c>
      <c r="Z18" s="3" t="s">
        <v>334</v>
      </c>
      <c r="AA18" s="3" t="s">
        <v>266</v>
      </c>
      <c r="AB18" s="3" t="s">
        <v>189</v>
      </c>
      <c r="AC18" s="3" t="s">
        <v>267</v>
      </c>
      <c r="AD18" s="3" t="s">
        <v>236</v>
      </c>
      <c r="AE18" s="3" t="s">
        <v>335</v>
      </c>
      <c r="AF18" s="3" t="s">
        <v>295</v>
      </c>
      <c r="AG18" s="3" t="s">
        <v>116</v>
      </c>
      <c r="AH18" s="3" t="str">
        <f>IF(AND(E18&lt;&gt;"",D18&lt;&gt;""),"COVERED","MISSING")</f>
        <v>COVERED</v>
      </c>
    </row>
    <row r="19" spans="1:34">
      <c r="A19" s="3" t="s">
        <v>69</v>
      </c>
      <c r="B19" s="3" t="s">
        <v>336</v>
      </c>
      <c r="C19" s="3" t="s">
        <v>337</v>
      </c>
      <c r="D19" s="3" t="s">
        <v>119</v>
      </c>
      <c r="E19" s="3" t="s">
        <v>120</v>
      </c>
      <c r="F19" s="3" t="s">
        <v>338</v>
      </c>
      <c r="G19" s="3" t="s">
        <v>122</v>
      </c>
      <c r="H19" s="3" t="s">
        <v>101</v>
      </c>
      <c r="I19" s="3" t="s">
        <v>102</v>
      </c>
      <c r="J19" s="3" t="s">
        <v>256</v>
      </c>
      <c r="K19" s="3" t="s">
        <v>339</v>
      </c>
      <c r="L19" s="3" t="s">
        <v>258</v>
      </c>
      <c r="M19" s="3" t="s">
        <v>80</v>
      </c>
      <c r="N19" s="3" t="s">
        <v>258</v>
      </c>
      <c r="O19" s="3" t="s">
        <v>106</v>
      </c>
      <c r="P19" s="3" t="s">
        <v>258</v>
      </c>
      <c r="Q19" s="3"/>
      <c r="R19" s="3" t="s">
        <v>340</v>
      </c>
      <c r="S19" s="3" t="s">
        <v>341</v>
      </c>
      <c r="T19" s="3" t="s">
        <v>342</v>
      </c>
      <c r="U19" s="3" t="s">
        <v>84</v>
      </c>
      <c r="V19" s="3" t="s">
        <v>85</v>
      </c>
      <c r="W19" s="3" t="s">
        <v>343</v>
      </c>
      <c r="X19" s="3" t="s">
        <v>344</v>
      </c>
      <c r="Y19" s="3" t="s">
        <v>345</v>
      </c>
      <c r="Z19" s="3" t="s">
        <v>346</v>
      </c>
      <c r="AA19" s="3" t="s">
        <v>266</v>
      </c>
      <c r="AB19" s="3" t="s">
        <v>267</v>
      </c>
      <c r="AC19" s="3" t="s">
        <v>189</v>
      </c>
      <c r="AD19" s="3" t="s">
        <v>236</v>
      </c>
      <c r="AE19" s="3" t="s">
        <v>347</v>
      </c>
      <c r="AF19" s="3" t="s">
        <v>93</v>
      </c>
      <c r="AG19" s="3" t="s">
        <v>116</v>
      </c>
      <c r="AH19" s="3" t="str">
        <f>IF(AND(E19&lt;&gt;"",D19&lt;&gt;""),"COVERED","MISSING")</f>
        <v>COVERED</v>
      </c>
    </row>
    <row r="20" spans="1:34">
      <c r="A20" s="3" t="s">
        <v>69</v>
      </c>
      <c r="B20" s="3" t="s">
        <v>348</v>
      </c>
      <c r="C20" s="3" t="s">
        <v>349</v>
      </c>
      <c r="D20" s="3" t="s">
        <v>119</v>
      </c>
      <c r="E20" s="3" t="s">
        <v>120</v>
      </c>
      <c r="F20" s="3" t="s">
        <v>350</v>
      </c>
      <c r="G20" s="3" t="s">
        <v>351</v>
      </c>
      <c r="H20" s="3" t="s">
        <v>162</v>
      </c>
      <c r="I20" s="3" t="s">
        <v>163</v>
      </c>
      <c r="J20" s="3" t="s">
        <v>352</v>
      </c>
      <c r="K20" s="3" t="s">
        <v>353</v>
      </c>
      <c r="L20" s="3" t="s">
        <v>354</v>
      </c>
      <c r="M20" s="3" t="s">
        <v>80</v>
      </c>
      <c r="N20" s="3" t="s">
        <v>258</v>
      </c>
      <c r="O20" s="3" t="s">
        <v>106</v>
      </c>
      <c r="P20" s="3" t="s">
        <v>354</v>
      </c>
      <c r="Q20" s="3"/>
      <c r="R20" s="3" t="s">
        <v>355</v>
      </c>
      <c r="S20" s="3" t="s">
        <v>356</v>
      </c>
      <c r="T20" s="3" t="s">
        <v>357</v>
      </c>
      <c r="U20" s="3" t="s">
        <v>358</v>
      </c>
      <c r="V20" s="3" t="s">
        <v>218</v>
      </c>
      <c r="W20" s="3" t="s">
        <v>359</v>
      </c>
      <c r="X20" s="3" t="s">
        <v>360</v>
      </c>
      <c r="Y20" s="3" t="s">
        <v>361</v>
      </c>
      <c r="Z20" s="3" t="s">
        <v>362</v>
      </c>
      <c r="AA20" s="3" t="s">
        <v>218</v>
      </c>
      <c r="AB20" s="3" t="s">
        <v>267</v>
      </c>
      <c r="AC20" s="3" t="s">
        <v>189</v>
      </c>
      <c r="AD20" s="3" t="s">
        <v>363</v>
      </c>
      <c r="AE20" s="3" t="s">
        <v>364</v>
      </c>
      <c r="AF20" s="3" t="s">
        <v>203</v>
      </c>
      <c r="AG20" s="3" t="s">
        <v>116</v>
      </c>
      <c r="AH20" s="3" t="str">
        <f>IF(AND(E20&lt;&gt;"",D20&lt;&gt;""),"COVERED","MISSING")</f>
        <v>COVERED</v>
      </c>
    </row>
    <row r="21" spans="1:34">
      <c r="A21" s="3" t="s">
        <v>69</v>
      </c>
      <c r="B21" s="3" t="s">
        <v>365</v>
      </c>
      <c r="C21" s="3" t="s">
        <v>366</v>
      </c>
      <c r="D21" s="3" t="s">
        <v>119</v>
      </c>
      <c r="E21" s="3" t="s">
        <v>120</v>
      </c>
      <c r="F21" s="3" t="s">
        <v>367</v>
      </c>
      <c r="G21" s="3" t="s">
        <v>368</v>
      </c>
      <c r="H21" s="3" t="s">
        <v>101</v>
      </c>
      <c r="I21" s="3" t="s">
        <v>102</v>
      </c>
      <c r="J21" s="3" t="s">
        <v>256</v>
      </c>
      <c r="K21" s="3" t="s">
        <v>369</v>
      </c>
      <c r="L21" s="3" t="s">
        <v>354</v>
      </c>
      <c r="M21" s="3" t="s">
        <v>80</v>
      </c>
      <c r="N21" s="3" t="s">
        <v>354</v>
      </c>
      <c r="O21" s="3" t="s">
        <v>106</v>
      </c>
      <c r="P21" s="3" t="s">
        <v>354</v>
      </c>
      <c r="Q21" s="3"/>
      <c r="R21" s="3" t="s">
        <v>370</v>
      </c>
      <c r="S21" s="3" t="s">
        <v>371</v>
      </c>
      <c r="T21" s="3" t="s">
        <v>372</v>
      </c>
      <c r="U21" s="3" t="s">
        <v>84</v>
      </c>
      <c r="V21" s="3" t="s">
        <v>85</v>
      </c>
      <c r="W21" s="3" t="s">
        <v>373</v>
      </c>
      <c r="X21" s="3" t="s">
        <v>374</v>
      </c>
      <c r="Y21" s="3" t="s">
        <v>375</v>
      </c>
      <c r="Z21" s="3" t="s">
        <v>376</v>
      </c>
      <c r="AA21" s="3" t="s">
        <v>218</v>
      </c>
      <c r="AB21" s="3" t="s">
        <v>306</v>
      </c>
      <c r="AC21" s="3" t="s">
        <v>267</v>
      </c>
      <c r="AD21" s="3" t="s">
        <v>363</v>
      </c>
      <c r="AE21" s="3" t="s">
        <v>377</v>
      </c>
      <c r="AF21" s="3" t="s">
        <v>93</v>
      </c>
      <c r="AG21" s="3" t="s">
        <v>116</v>
      </c>
      <c r="AH21" s="3" t="str">
        <f>IF(AND(E21&lt;&gt;"",D21&lt;&gt;""),"COVERED","MISSING")</f>
        <v>COVERED</v>
      </c>
    </row>
    <row r="22" spans="1:34">
      <c r="A22" s="3" t="s">
        <v>69</v>
      </c>
      <c r="B22" s="3" t="s">
        <v>378</v>
      </c>
      <c r="C22" s="3" t="s">
        <v>379</v>
      </c>
      <c r="D22" s="3" t="s">
        <v>119</v>
      </c>
      <c r="E22" s="3" t="s">
        <v>120</v>
      </c>
      <c r="F22" s="3" t="s">
        <v>380</v>
      </c>
      <c r="G22" s="3" t="s">
        <v>381</v>
      </c>
      <c r="H22" s="3" t="s">
        <v>208</v>
      </c>
      <c r="I22" s="3" t="s">
        <v>209</v>
      </c>
      <c r="J22" s="3" t="s">
        <v>382</v>
      </c>
      <c r="K22" s="3" t="s">
        <v>383</v>
      </c>
      <c r="L22" s="3" t="s">
        <v>354</v>
      </c>
      <c r="M22" s="3" t="s">
        <v>80</v>
      </c>
      <c r="N22" s="3" t="s">
        <v>354</v>
      </c>
      <c r="O22" s="3" t="s">
        <v>213</v>
      </c>
      <c r="P22" s="3" t="s">
        <v>354</v>
      </c>
      <c r="Q22" s="3"/>
      <c r="R22" s="3" t="s">
        <v>384</v>
      </c>
      <c r="S22" s="3" t="s">
        <v>385</v>
      </c>
      <c r="T22" s="3" t="s">
        <v>386</v>
      </c>
      <c r="U22" s="3" t="s">
        <v>84</v>
      </c>
      <c r="V22" s="3" t="s">
        <v>85</v>
      </c>
      <c r="W22" s="3" t="s">
        <v>387</v>
      </c>
      <c r="X22" s="3" t="s">
        <v>388</v>
      </c>
      <c r="Y22" s="3" t="s">
        <v>389</v>
      </c>
      <c r="Z22" s="3" t="s">
        <v>390</v>
      </c>
      <c r="AA22" s="3" t="s">
        <v>85</v>
      </c>
      <c r="AB22" s="3" t="s">
        <v>306</v>
      </c>
      <c r="AC22" s="3" t="s">
        <v>267</v>
      </c>
      <c r="AD22" s="3" t="s">
        <v>363</v>
      </c>
      <c r="AE22" s="3" t="s">
        <v>391</v>
      </c>
      <c r="AF22" s="3" t="s">
        <v>190</v>
      </c>
      <c r="AG22" s="3" t="s">
        <v>116</v>
      </c>
      <c r="AH22" s="3" t="str">
        <f>IF(AND(E22&lt;&gt;"",D22&lt;&gt;""),"COVERED","MISSING")</f>
        <v>COVERED</v>
      </c>
    </row>
    <row r="23" spans="1:34">
      <c r="A23" s="3" t="s">
        <v>69</v>
      </c>
      <c r="B23" s="3" t="s">
        <v>392</v>
      </c>
      <c r="C23" s="3" t="s">
        <v>393</v>
      </c>
      <c r="D23" s="3" t="s">
        <v>119</v>
      </c>
      <c r="E23" s="3" t="s">
        <v>120</v>
      </c>
      <c r="F23" s="3" t="s">
        <v>394</v>
      </c>
      <c r="G23" s="3" t="s">
        <v>395</v>
      </c>
      <c r="H23" s="3" t="s">
        <v>396</v>
      </c>
      <c r="I23" s="3" t="s">
        <v>397</v>
      </c>
      <c r="J23" s="3" t="s">
        <v>398</v>
      </c>
      <c r="K23" s="3" t="s">
        <v>383</v>
      </c>
      <c r="L23" s="3" t="s">
        <v>258</v>
      </c>
      <c r="M23" s="3" t="s">
        <v>80</v>
      </c>
      <c r="N23" s="3" t="s">
        <v>354</v>
      </c>
      <c r="O23" s="3" t="s">
        <v>106</v>
      </c>
      <c r="P23" s="3" t="s">
        <v>258</v>
      </c>
      <c r="Q23" s="3"/>
      <c r="R23" s="3" t="s">
        <v>399</v>
      </c>
      <c r="S23" s="3" t="s">
        <v>400</v>
      </c>
      <c r="T23" s="3" t="s">
        <v>401</v>
      </c>
      <c r="U23" s="3" t="s">
        <v>84</v>
      </c>
      <c r="V23" s="3" t="s">
        <v>218</v>
      </c>
      <c r="W23" s="3" t="s">
        <v>402</v>
      </c>
      <c r="X23" s="3" t="s">
        <v>403</v>
      </c>
      <c r="Y23" s="3" t="s">
        <v>404</v>
      </c>
      <c r="Z23" s="3" t="s">
        <v>405</v>
      </c>
      <c r="AA23" s="3" t="s">
        <v>406</v>
      </c>
      <c r="AB23" s="3" t="s">
        <v>306</v>
      </c>
      <c r="AC23" s="3" t="s">
        <v>267</v>
      </c>
      <c r="AD23" s="3" t="s">
        <v>363</v>
      </c>
      <c r="AE23" s="3" t="s">
        <v>407</v>
      </c>
      <c r="AF23" s="3" t="s">
        <v>115</v>
      </c>
      <c r="AG23" s="3" t="s">
        <v>116</v>
      </c>
      <c r="AH23" s="3" t="str">
        <f>IF(AND(E23&lt;&gt;"",D23&lt;&gt;""),"COVERED","MISSING")</f>
        <v>COVERED</v>
      </c>
    </row>
    <row r="24" spans="1:34">
      <c r="A24" s="3" t="s">
        <v>69</v>
      </c>
      <c r="B24" s="3" t="s">
        <v>408</v>
      </c>
      <c r="C24" s="3" t="s">
        <v>409</v>
      </c>
      <c r="D24" s="3" t="s">
        <v>410</v>
      </c>
      <c r="E24" s="3" t="s">
        <v>411</v>
      </c>
      <c r="F24" s="3" t="s">
        <v>412</v>
      </c>
      <c r="G24" s="3" t="s">
        <v>413</v>
      </c>
      <c r="H24" s="3" t="s">
        <v>162</v>
      </c>
      <c r="I24" s="3" t="s">
        <v>163</v>
      </c>
      <c r="J24" s="3" t="s">
        <v>414</v>
      </c>
      <c r="K24" s="3" t="s">
        <v>415</v>
      </c>
      <c r="L24" s="3"/>
      <c r="M24" s="3" t="s">
        <v>80</v>
      </c>
      <c r="N24" s="3"/>
      <c r="O24" s="3"/>
      <c r="P24" s="3"/>
      <c r="Q24" s="3" t="s">
        <v>416</v>
      </c>
      <c r="R24" s="3" t="s">
        <v>355</v>
      </c>
      <c r="S24" s="3" t="s">
        <v>417</v>
      </c>
      <c r="T24" s="3" t="s">
        <v>418</v>
      </c>
      <c r="U24" s="3" t="s">
        <v>84</v>
      </c>
      <c r="V24" s="3" t="s">
        <v>85</v>
      </c>
      <c r="W24" s="3" t="s">
        <v>419</v>
      </c>
      <c r="X24" s="3" t="s">
        <v>420</v>
      </c>
      <c r="Y24" s="3" t="s">
        <v>421</v>
      </c>
      <c r="Z24" s="3" t="s">
        <v>422</v>
      </c>
      <c r="AA24" s="3" t="s">
        <v>266</v>
      </c>
      <c r="AB24" s="3" t="s">
        <v>114</v>
      </c>
      <c r="AC24" s="3" t="s">
        <v>189</v>
      </c>
      <c r="AD24" s="3" t="s">
        <v>423</v>
      </c>
      <c r="AE24" s="3" t="s">
        <v>237</v>
      </c>
      <c r="AF24" s="3" t="s">
        <v>191</v>
      </c>
      <c r="AG24" s="3" t="s">
        <v>424</v>
      </c>
      <c r="AH24" s="3" t="str">
        <f>IF(AND(E24&lt;&gt;"",D24&lt;&gt;""),"COVERED","MISSING")</f>
        <v>COVERED</v>
      </c>
    </row>
    <row r="25" spans="1:34">
      <c r="A25" s="3" t="s">
        <v>69</v>
      </c>
      <c r="B25" s="3" t="s">
        <v>425</v>
      </c>
      <c r="C25" s="3" t="s">
        <v>426</v>
      </c>
      <c r="D25" s="3" t="s">
        <v>119</v>
      </c>
      <c r="E25" s="3" t="s">
        <v>120</v>
      </c>
      <c r="F25" s="3" t="s">
        <v>427</v>
      </c>
      <c r="G25" s="3" t="s">
        <v>428</v>
      </c>
      <c r="H25" s="3" t="s">
        <v>396</v>
      </c>
      <c r="I25" s="3" t="s">
        <v>397</v>
      </c>
      <c r="J25" s="3" t="s">
        <v>429</v>
      </c>
      <c r="K25" s="3" t="s">
        <v>415</v>
      </c>
      <c r="L25" s="3" t="s">
        <v>258</v>
      </c>
      <c r="M25" s="3" t="s">
        <v>80</v>
      </c>
      <c r="N25" s="3" t="s">
        <v>354</v>
      </c>
      <c r="O25" s="3" t="s">
        <v>106</v>
      </c>
      <c r="P25" s="3" t="s">
        <v>258</v>
      </c>
      <c r="Q25" s="3"/>
      <c r="R25" s="3" t="s">
        <v>430</v>
      </c>
      <c r="S25" s="3" t="s">
        <v>431</v>
      </c>
      <c r="T25" s="3" t="s">
        <v>432</v>
      </c>
      <c r="U25" s="3" t="s">
        <v>84</v>
      </c>
      <c r="V25" s="3" t="s">
        <v>85</v>
      </c>
      <c r="W25" s="3" t="s">
        <v>433</v>
      </c>
      <c r="X25" s="3" t="s">
        <v>434</v>
      </c>
      <c r="Y25" s="3" t="s">
        <v>435</v>
      </c>
      <c r="Z25" s="3" t="s">
        <v>436</v>
      </c>
      <c r="AA25" s="3" t="s">
        <v>218</v>
      </c>
      <c r="AB25" s="3" t="s">
        <v>306</v>
      </c>
      <c r="AC25" s="3" t="s">
        <v>306</v>
      </c>
      <c r="AD25" s="3" t="s">
        <v>423</v>
      </c>
      <c r="AE25" s="3" t="s">
        <v>437</v>
      </c>
      <c r="AF25" s="3" t="s">
        <v>391</v>
      </c>
      <c r="AG25" s="3" t="s">
        <v>116</v>
      </c>
      <c r="AH25" s="3" t="str">
        <f>IF(AND(E25&lt;&gt;"",D25&lt;&gt;""),"COVERED","MISSING")</f>
        <v>COVERED</v>
      </c>
    </row>
    <row r="26" spans="1:34">
      <c r="A26" s="3" t="s">
        <v>69</v>
      </c>
      <c r="B26" s="3" t="s">
        <v>438</v>
      </c>
      <c r="C26" s="3" t="s">
        <v>439</v>
      </c>
      <c r="D26" s="3" t="s">
        <v>440</v>
      </c>
      <c r="E26" s="3" t="s">
        <v>441</v>
      </c>
      <c r="F26" s="3" t="s">
        <v>442</v>
      </c>
      <c r="G26" s="3" t="s">
        <v>443</v>
      </c>
      <c r="H26" s="3" t="s">
        <v>444</v>
      </c>
      <c r="I26" s="3" t="s">
        <v>209</v>
      </c>
      <c r="J26" s="3" t="s">
        <v>445</v>
      </c>
      <c r="K26" s="3" t="s">
        <v>446</v>
      </c>
      <c r="L26" s="3"/>
      <c r="M26" s="3" t="s">
        <v>80</v>
      </c>
      <c r="N26" s="3"/>
      <c r="O26" s="3"/>
      <c r="P26" s="3"/>
      <c r="Q26" s="3" t="s">
        <v>447</v>
      </c>
      <c r="R26" s="3" t="s">
        <v>448</v>
      </c>
      <c r="S26" s="3" t="s">
        <v>449</v>
      </c>
      <c r="T26" s="3" t="s">
        <v>450</v>
      </c>
      <c r="U26" s="3" t="s">
        <v>84</v>
      </c>
      <c r="V26" s="3" t="s">
        <v>85</v>
      </c>
      <c r="W26" s="3" t="s">
        <v>451</v>
      </c>
      <c r="X26" s="3" t="s">
        <v>452</v>
      </c>
      <c r="Y26" s="3" t="s">
        <v>453</v>
      </c>
      <c r="Z26" s="3" t="s">
        <v>454</v>
      </c>
      <c r="AA26" s="3" t="s">
        <v>266</v>
      </c>
      <c r="AB26" s="3" t="s">
        <v>455</v>
      </c>
      <c r="AC26" s="3" t="s">
        <v>456</v>
      </c>
      <c r="AD26" s="3" t="s">
        <v>457</v>
      </c>
      <c r="AE26" s="3" t="s">
        <v>458</v>
      </c>
      <c r="AF26" s="3" t="s">
        <v>459</v>
      </c>
      <c r="AG26" s="3" t="s">
        <v>460</v>
      </c>
      <c r="AH26" s="3" t="str">
        <f>IF(AND(E26&lt;&gt;"",D26&lt;&gt;""),"COVERED","MISSING")</f>
        <v>COVERED</v>
      </c>
    </row>
    <row r="27" spans="1:34">
      <c r="A27" s="3" t="s">
        <v>69</v>
      </c>
      <c r="B27" s="3" t="s">
        <v>461</v>
      </c>
      <c r="C27" s="3" t="s">
        <v>462</v>
      </c>
      <c r="D27" s="3" t="s">
        <v>410</v>
      </c>
      <c r="E27" s="3" t="s">
        <v>411</v>
      </c>
      <c r="F27" s="3" t="s">
        <v>463</v>
      </c>
      <c r="G27" s="3" t="s">
        <v>464</v>
      </c>
      <c r="H27" s="3" t="s">
        <v>465</v>
      </c>
      <c r="I27" s="3" t="s">
        <v>466</v>
      </c>
      <c r="J27" s="3" t="s">
        <v>467</v>
      </c>
      <c r="K27" s="3" t="s">
        <v>468</v>
      </c>
      <c r="L27" s="3"/>
      <c r="M27" s="3" t="s">
        <v>80</v>
      </c>
      <c r="N27" s="3"/>
      <c r="O27" s="3"/>
      <c r="P27" s="3"/>
      <c r="Q27" s="3" t="s">
        <v>469</v>
      </c>
      <c r="R27" s="3" t="s">
        <v>470</v>
      </c>
      <c r="S27" s="3" t="s">
        <v>471</v>
      </c>
      <c r="T27" s="3" t="s">
        <v>472</v>
      </c>
      <c r="U27" s="3" t="s">
        <v>473</v>
      </c>
      <c r="V27" s="3" t="s">
        <v>85</v>
      </c>
      <c r="W27" s="3" t="s">
        <v>474</v>
      </c>
      <c r="X27" s="3" t="s">
        <v>475</v>
      </c>
      <c r="Y27" s="3" t="s">
        <v>476</v>
      </c>
      <c r="Z27" s="3" t="s">
        <v>477</v>
      </c>
      <c r="AA27" s="3" t="s">
        <v>85</v>
      </c>
      <c r="AB27" s="3" t="s">
        <v>114</v>
      </c>
      <c r="AC27" s="3" t="s">
        <v>455</v>
      </c>
      <c r="AD27" s="3" t="s">
        <v>423</v>
      </c>
      <c r="AE27" s="3" t="s">
        <v>478</v>
      </c>
      <c r="AF27" s="3" t="s">
        <v>203</v>
      </c>
      <c r="AG27" s="3" t="s">
        <v>424</v>
      </c>
      <c r="AH27" s="3" t="str">
        <f>IF(AND(E27&lt;&gt;"",D27&lt;&gt;""),"COVERED","MISSING")</f>
        <v>COVERED</v>
      </c>
    </row>
    <row r="28" spans="1:34">
      <c r="A28" s="3" t="s">
        <v>69</v>
      </c>
      <c r="B28" s="3" t="s">
        <v>479</v>
      </c>
      <c r="C28" s="3" t="s">
        <v>480</v>
      </c>
      <c r="D28" s="3" t="s">
        <v>410</v>
      </c>
      <c r="E28" s="3" t="s">
        <v>411</v>
      </c>
      <c r="F28" s="3" t="s">
        <v>481</v>
      </c>
      <c r="G28" s="3" t="s">
        <v>482</v>
      </c>
      <c r="H28" s="3" t="s">
        <v>465</v>
      </c>
      <c r="I28" s="3" t="s">
        <v>466</v>
      </c>
      <c r="J28" s="3" t="s">
        <v>467</v>
      </c>
      <c r="K28" s="3" t="s">
        <v>483</v>
      </c>
      <c r="L28" s="3"/>
      <c r="M28" s="3" t="s">
        <v>80</v>
      </c>
      <c r="N28" s="3"/>
      <c r="O28" s="3"/>
      <c r="P28" s="3"/>
      <c r="Q28" s="3" t="s">
        <v>484</v>
      </c>
      <c r="R28" s="3" t="s">
        <v>485</v>
      </c>
      <c r="S28" s="3" t="s">
        <v>486</v>
      </c>
      <c r="T28" s="3" t="s">
        <v>487</v>
      </c>
      <c r="U28" s="3" t="s">
        <v>473</v>
      </c>
      <c r="V28" s="3" t="s">
        <v>85</v>
      </c>
      <c r="W28" s="3" t="s">
        <v>488</v>
      </c>
      <c r="X28" s="3" t="s">
        <v>489</v>
      </c>
      <c r="Y28" s="3" t="s">
        <v>490</v>
      </c>
      <c r="Z28" s="3" t="s">
        <v>491</v>
      </c>
      <c r="AA28" s="3" t="s">
        <v>85</v>
      </c>
      <c r="AB28" s="3" t="s">
        <v>189</v>
      </c>
      <c r="AC28" s="3" t="s">
        <v>455</v>
      </c>
      <c r="AD28" s="3" t="s">
        <v>423</v>
      </c>
      <c r="AE28" s="3" t="s">
        <v>492</v>
      </c>
      <c r="AF28" s="3" t="s">
        <v>478</v>
      </c>
      <c r="AG28" s="3" t="s">
        <v>424</v>
      </c>
      <c r="AH28" s="3" t="str">
        <f>IF(AND(E28&lt;&gt;"",D28&lt;&gt;""),"COVERED","MISSING")</f>
        <v>COVERED</v>
      </c>
    </row>
    <row r="29" spans="1:34">
      <c r="A29" s="3" t="s">
        <v>69</v>
      </c>
      <c r="B29" s="3" t="s">
        <v>493</v>
      </c>
      <c r="C29" s="3" t="s">
        <v>494</v>
      </c>
      <c r="D29" s="3" t="s">
        <v>410</v>
      </c>
      <c r="E29" s="3" t="s">
        <v>411</v>
      </c>
      <c r="F29" s="3" t="s">
        <v>495</v>
      </c>
      <c r="G29" s="3" t="s">
        <v>496</v>
      </c>
      <c r="H29" s="3" t="s">
        <v>465</v>
      </c>
      <c r="I29" s="3" t="s">
        <v>497</v>
      </c>
      <c r="J29" s="3" t="s">
        <v>498</v>
      </c>
      <c r="K29" s="3" t="s">
        <v>499</v>
      </c>
      <c r="L29" s="3"/>
      <c r="M29" s="3" t="s">
        <v>80</v>
      </c>
      <c r="N29" s="3"/>
      <c r="O29" s="3"/>
      <c r="P29" s="3"/>
      <c r="Q29" s="3" t="s">
        <v>500</v>
      </c>
      <c r="R29" s="3" t="s">
        <v>501</v>
      </c>
      <c r="S29" s="3" t="s">
        <v>502</v>
      </c>
      <c r="T29" s="3" t="s">
        <v>503</v>
      </c>
      <c r="U29" s="3" t="s">
        <v>84</v>
      </c>
      <c r="V29" s="3" t="s">
        <v>85</v>
      </c>
      <c r="W29" s="3" t="s">
        <v>504</v>
      </c>
      <c r="X29" s="3" t="s">
        <v>505</v>
      </c>
      <c r="Y29" s="3" t="s">
        <v>506</v>
      </c>
      <c r="Z29" s="3" t="s">
        <v>507</v>
      </c>
      <c r="AA29" s="3" t="s">
        <v>85</v>
      </c>
      <c r="AB29" s="3" t="s">
        <v>90</v>
      </c>
      <c r="AC29" s="3" t="s">
        <v>456</v>
      </c>
      <c r="AD29" s="3" t="s">
        <v>423</v>
      </c>
      <c r="AE29" s="3" t="s">
        <v>174</v>
      </c>
      <c r="AF29" s="3" t="s">
        <v>478</v>
      </c>
      <c r="AG29" s="3" t="s">
        <v>424</v>
      </c>
      <c r="AH29" s="3" t="str">
        <f>IF(AND(E29&lt;&gt;"",D29&lt;&gt;""),"COVERED","MISSING")</f>
        <v>COVERED</v>
      </c>
    </row>
    <row r="30" spans="1:34">
      <c r="A30" s="3" t="s">
        <v>69</v>
      </c>
      <c r="B30" s="3" t="s">
        <v>508</v>
      </c>
      <c r="C30" s="3" t="s">
        <v>509</v>
      </c>
      <c r="D30" s="3" t="s">
        <v>410</v>
      </c>
      <c r="E30" s="3" t="s">
        <v>411</v>
      </c>
      <c r="F30" s="3" t="s">
        <v>510</v>
      </c>
      <c r="G30" s="3" t="s">
        <v>511</v>
      </c>
      <c r="H30" s="3" t="s">
        <v>512</v>
      </c>
      <c r="I30" s="3" t="s">
        <v>497</v>
      </c>
      <c r="J30" s="3" t="s">
        <v>513</v>
      </c>
      <c r="K30" s="3" t="s">
        <v>514</v>
      </c>
      <c r="L30" s="3"/>
      <c r="M30" s="3" t="s">
        <v>80</v>
      </c>
      <c r="N30" s="3"/>
      <c r="O30" s="3"/>
      <c r="P30" s="3"/>
      <c r="Q30" s="3" t="s">
        <v>515</v>
      </c>
      <c r="R30" s="3" t="s">
        <v>516</v>
      </c>
      <c r="S30" s="3" t="s">
        <v>517</v>
      </c>
      <c r="T30" s="3" t="s">
        <v>518</v>
      </c>
      <c r="U30" s="3" t="s">
        <v>84</v>
      </c>
      <c r="V30" s="3" t="s">
        <v>85</v>
      </c>
      <c r="W30" s="3" t="s">
        <v>519</v>
      </c>
      <c r="X30" s="3" t="s">
        <v>520</v>
      </c>
      <c r="Y30" s="3" t="s">
        <v>521</v>
      </c>
      <c r="Z30" s="3" t="s">
        <v>522</v>
      </c>
      <c r="AA30" s="3" t="s">
        <v>85</v>
      </c>
      <c r="AB30" s="3" t="s">
        <v>156</v>
      </c>
      <c r="AC30" s="3" t="s">
        <v>456</v>
      </c>
      <c r="AD30" s="3" t="s">
        <v>423</v>
      </c>
      <c r="AE30" s="3" t="s">
        <v>523</v>
      </c>
      <c r="AF30" s="3" t="s">
        <v>391</v>
      </c>
      <c r="AG30" s="3" t="s">
        <v>424</v>
      </c>
      <c r="AH30" s="3" t="str">
        <f>IF(AND(E30&lt;&gt;"",D30&lt;&gt;""),"COVERED","MISSING")</f>
        <v>COVERED</v>
      </c>
    </row>
    <row r="31" spans="1:34">
      <c r="A31" s="3" t="s">
        <v>69</v>
      </c>
      <c r="B31" s="3" t="s">
        <v>524</v>
      </c>
      <c r="C31" s="3" t="s">
        <v>525</v>
      </c>
      <c r="D31" s="3" t="s">
        <v>410</v>
      </c>
      <c r="E31" s="3" t="s">
        <v>411</v>
      </c>
      <c r="F31" s="3" t="s">
        <v>526</v>
      </c>
      <c r="G31" s="3" t="s">
        <v>527</v>
      </c>
      <c r="H31" s="3" t="s">
        <v>528</v>
      </c>
      <c r="I31" s="3" t="s">
        <v>497</v>
      </c>
      <c r="J31" s="3" t="s">
        <v>529</v>
      </c>
      <c r="K31" s="3" t="s">
        <v>530</v>
      </c>
      <c r="L31" s="3"/>
      <c r="M31" s="3" t="s">
        <v>80</v>
      </c>
      <c r="N31" s="3"/>
      <c r="O31" s="3"/>
      <c r="P31" s="3"/>
      <c r="Q31" s="3" t="s">
        <v>531</v>
      </c>
      <c r="R31" s="3" t="s">
        <v>532</v>
      </c>
      <c r="S31" s="3" t="s">
        <v>533</v>
      </c>
      <c r="T31" s="3" t="s">
        <v>534</v>
      </c>
      <c r="U31" s="3" t="s">
        <v>84</v>
      </c>
      <c r="V31" s="3" t="s">
        <v>85</v>
      </c>
      <c r="W31" s="3" t="s">
        <v>535</v>
      </c>
      <c r="X31" s="3" t="s">
        <v>536</v>
      </c>
      <c r="Y31" s="3" t="s">
        <v>537</v>
      </c>
      <c r="Z31" s="3" t="s">
        <v>538</v>
      </c>
      <c r="AA31" s="3" t="s">
        <v>85</v>
      </c>
      <c r="AB31" s="3" t="s">
        <v>156</v>
      </c>
      <c r="AC31" s="3" t="s">
        <v>456</v>
      </c>
      <c r="AD31" s="3" t="s">
        <v>423</v>
      </c>
      <c r="AE31" s="3" t="s">
        <v>539</v>
      </c>
      <c r="AF31" s="3" t="s">
        <v>540</v>
      </c>
      <c r="AG31" s="3" t="s">
        <v>424</v>
      </c>
      <c r="AH31" s="3" t="str">
        <f>IF(AND(E31&lt;&gt;"",D31&lt;&gt;""),"COVERED","MISSING")</f>
        <v>COVERED</v>
      </c>
    </row>
    <row r="32" spans="1:34">
      <c r="A32" s="3" t="s">
        <v>515</v>
      </c>
      <c r="B32" s="3" t="s">
        <v>541</v>
      </c>
      <c r="C32" s="3" t="s">
        <v>542</v>
      </c>
      <c r="D32" s="3" t="s">
        <v>119</v>
      </c>
      <c r="E32" s="3" t="s">
        <v>120</v>
      </c>
      <c r="F32" s="3" t="s">
        <v>543</v>
      </c>
      <c r="G32" s="3" t="s">
        <v>428</v>
      </c>
      <c r="H32" s="3" t="s">
        <v>396</v>
      </c>
      <c r="I32" s="3" t="s">
        <v>397</v>
      </c>
      <c r="J32" s="3" t="s">
        <v>544</v>
      </c>
      <c r="K32" s="3" t="s">
        <v>545</v>
      </c>
      <c r="L32" s="3" t="s">
        <v>104</v>
      </c>
      <c r="M32" s="3" t="s">
        <v>84</v>
      </c>
      <c r="N32" s="3" t="s">
        <v>104</v>
      </c>
      <c r="O32" s="3" t="s">
        <v>106</v>
      </c>
      <c r="P32" s="3" t="s">
        <v>104</v>
      </c>
      <c r="Q32" s="3"/>
      <c r="R32" s="3" t="s">
        <v>546</v>
      </c>
      <c r="S32" s="3" t="s">
        <v>547</v>
      </c>
      <c r="T32" s="3" t="s">
        <v>548</v>
      </c>
      <c r="U32" s="3" t="s">
        <v>84</v>
      </c>
      <c r="V32" s="3" t="s">
        <v>85</v>
      </c>
      <c r="W32" s="3" t="s">
        <v>549</v>
      </c>
      <c r="X32" s="3" t="s">
        <v>550</v>
      </c>
      <c r="Y32" s="3" t="s">
        <v>551</v>
      </c>
      <c r="Z32" s="3" t="s">
        <v>552</v>
      </c>
      <c r="AA32" s="3" t="s">
        <v>85</v>
      </c>
      <c r="AB32" s="3" t="s">
        <v>90</v>
      </c>
      <c r="AC32" s="3" t="s">
        <v>90</v>
      </c>
      <c r="AD32" s="3" t="s">
        <v>91</v>
      </c>
      <c r="AE32" s="3" t="s">
        <v>523</v>
      </c>
      <c r="AF32" s="3" t="s">
        <v>553</v>
      </c>
      <c r="AG32" s="3" t="s">
        <v>116</v>
      </c>
      <c r="AH32" s="3" t="str">
        <f>IF(AND(E32&lt;&gt;"",D32&lt;&gt;""),"COVERED","MISSING")</f>
        <v>COVERED</v>
      </c>
    </row>
    <row r="33" spans="1:34">
      <c r="A33" s="3" t="s">
        <v>515</v>
      </c>
      <c r="B33" s="3" t="s">
        <v>554</v>
      </c>
      <c r="C33" s="3" t="s">
        <v>555</v>
      </c>
      <c r="D33" s="3" t="s">
        <v>556</v>
      </c>
      <c r="E33" s="3" t="s">
        <v>557</v>
      </c>
      <c r="F33" s="3" t="s">
        <v>558</v>
      </c>
      <c r="G33" s="3" t="s">
        <v>559</v>
      </c>
      <c r="H33" s="3" t="s">
        <v>76</v>
      </c>
      <c r="I33" s="3" t="s">
        <v>497</v>
      </c>
      <c r="J33" s="3" t="s">
        <v>560</v>
      </c>
      <c r="K33" s="3" t="s">
        <v>545</v>
      </c>
      <c r="L33" s="3"/>
      <c r="M33" s="3" t="s">
        <v>80</v>
      </c>
      <c r="N33" s="3"/>
      <c r="O33" s="3"/>
      <c r="P33" s="3"/>
      <c r="Q33" s="3"/>
      <c r="R33" s="3" t="s">
        <v>561</v>
      </c>
      <c r="S33" s="3" t="s">
        <v>562</v>
      </c>
      <c r="T33" s="3" t="s">
        <v>563</v>
      </c>
      <c r="U33" s="3" t="s">
        <v>84</v>
      </c>
      <c r="V33" s="3" t="s">
        <v>85</v>
      </c>
      <c r="W33" s="3" t="s">
        <v>564</v>
      </c>
      <c r="X33" s="3" t="s">
        <v>565</v>
      </c>
      <c r="Y33" s="3" t="s">
        <v>566</v>
      </c>
      <c r="Z33" s="3" t="s">
        <v>567</v>
      </c>
      <c r="AA33" s="3" t="s">
        <v>85</v>
      </c>
      <c r="AB33" s="3" t="s">
        <v>90</v>
      </c>
      <c r="AC33" s="3" t="s">
        <v>90</v>
      </c>
      <c r="AD33" s="3" t="s">
        <v>91</v>
      </c>
      <c r="AE33" s="3" t="s">
        <v>568</v>
      </c>
      <c r="AF33" s="3" t="s">
        <v>569</v>
      </c>
      <c r="AG33" s="3" t="s">
        <v>94</v>
      </c>
      <c r="AH33" s="3" t="str">
        <f>IF(AND(E33&lt;&gt;"",D33&lt;&gt;""),"COVERED","MISSING")</f>
        <v>COVERED</v>
      </c>
    </row>
    <row r="34" spans="1:34">
      <c r="A34" s="3" t="s">
        <v>515</v>
      </c>
      <c r="B34" s="3" t="s">
        <v>570</v>
      </c>
      <c r="C34" s="3" t="s">
        <v>571</v>
      </c>
      <c r="D34" s="3" t="s">
        <v>119</v>
      </c>
      <c r="E34" s="3" t="s">
        <v>120</v>
      </c>
      <c r="F34" s="3" t="s">
        <v>572</v>
      </c>
      <c r="G34" s="3" t="s">
        <v>428</v>
      </c>
      <c r="H34" s="3" t="s">
        <v>396</v>
      </c>
      <c r="I34" s="3" t="s">
        <v>397</v>
      </c>
      <c r="J34" s="3" t="s">
        <v>544</v>
      </c>
      <c r="K34" s="3" t="s">
        <v>545</v>
      </c>
      <c r="L34" s="3" t="s">
        <v>104</v>
      </c>
      <c r="M34" s="3" t="s">
        <v>84</v>
      </c>
      <c r="N34" s="3" t="s">
        <v>104</v>
      </c>
      <c r="O34" s="3" t="s">
        <v>106</v>
      </c>
      <c r="P34" s="3" t="s">
        <v>104</v>
      </c>
      <c r="Q34" s="3"/>
      <c r="R34" s="3" t="s">
        <v>573</v>
      </c>
      <c r="S34" s="3" t="s">
        <v>574</v>
      </c>
      <c r="T34" s="3" t="s">
        <v>575</v>
      </c>
      <c r="U34" s="3" t="s">
        <v>84</v>
      </c>
      <c r="V34" s="3" t="s">
        <v>85</v>
      </c>
      <c r="W34" s="3" t="s">
        <v>576</v>
      </c>
      <c r="X34" s="3" t="s">
        <v>577</v>
      </c>
      <c r="Y34" s="3" t="s">
        <v>578</v>
      </c>
      <c r="Z34" s="3" t="s">
        <v>579</v>
      </c>
      <c r="AA34" s="3" t="s">
        <v>85</v>
      </c>
      <c r="AB34" s="3" t="s">
        <v>90</v>
      </c>
      <c r="AC34" s="3" t="s">
        <v>90</v>
      </c>
      <c r="AD34" s="3" t="s">
        <v>91</v>
      </c>
      <c r="AE34" s="3" t="s">
        <v>523</v>
      </c>
      <c r="AF34" s="3" t="s">
        <v>580</v>
      </c>
      <c r="AG34" s="3" t="s">
        <v>116</v>
      </c>
      <c r="AH34" s="3" t="str">
        <f>IF(AND(E34&lt;&gt;"",D34&lt;&gt;""),"COVERED","MISSING")</f>
        <v>COVERED</v>
      </c>
    </row>
    <row r="35" spans="1:34">
      <c r="A35" s="3" t="s">
        <v>515</v>
      </c>
      <c r="B35" s="3" t="s">
        <v>581</v>
      </c>
      <c r="C35" s="3" t="s">
        <v>582</v>
      </c>
      <c r="D35" s="3" t="s">
        <v>556</v>
      </c>
      <c r="E35" s="3" t="s">
        <v>557</v>
      </c>
      <c r="F35" s="3" t="s">
        <v>583</v>
      </c>
      <c r="G35" s="3" t="s">
        <v>584</v>
      </c>
      <c r="H35" s="3" t="s">
        <v>76</v>
      </c>
      <c r="I35" s="3" t="s">
        <v>497</v>
      </c>
      <c r="J35" s="3" t="s">
        <v>103</v>
      </c>
      <c r="K35" s="3" t="s">
        <v>545</v>
      </c>
      <c r="L35" s="3"/>
      <c r="M35" s="3" t="s">
        <v>80</v>
      </c>
      <c r="N35" s="3"/>
      <c r="O35" s="3"/>
      <c r="P35" s="3"/>
      <c r="Q35" s="3"/>
      <c r="R35" s="3" t="s">
        <v>585</v>
      </c>
      <c r="S35" s="3" t="s">
        <v>586</v>
      </c>
      <c r="T35" s="3" t="s">
        <v>587</v>
      </c>
      <c r="U35" s="3" t="s">
        <v>84</v>
      </c>
      <c r="V35" s="3" t="s">
        <v>85</v>
      </c>
      <c r="W35" s="3" t="s">
        <v>588</v>
      </c>
      <c r="X35" s="3" t="s">
        <v>589</v>
      </c>
      <c r="Y35" s="3" t="s">
        <v>590</v>
      </c>
      <c r="Z35" s="3" t="s">
        <v>591</v>
      </c>
      <c r="AA35" s="3" t="s">
        <v>85</v>
      </c>
      <c r="AB35" s="3" t="s">
        <v>90</v>
      </c>
      <c r="AC35" s="3" t="s">
        <v>90</v>
      </c>
      <c r="AD35" s="3" t="s">
        <v>91</v>
      </c>
      <c r="AE35" s="3" t="s">
        <v>592</v>
      </c>
      <c r="AF35" s="3" t="s">
        <v>553</v>
      </c>
      <c r="AG35" s="3" t="s">
        <v>94</v>
      </c>
      <c r="AH35" s="3" t="str">
        <f>IF(AND(E35&lt;&gt;"",D35&lt;&gt;""),"COVERED","MISSING")</f>
        <v>COVERED</v>
      </c>
    </row>
    <row r="36" spans="1:34">
      <c r="A36" s="3" t="s">
        <v>515</v>
      </c>
      <c r="B36" s="3" t="s">
        <v>593</v>
      </c>
      <c r="C36" s="3" t="s">
        <v>594</v>
      </c>
      <c r="D36" s="3" t="s">
        <v>119</v>
      </c>
      <c r="E36" s="3" t="s">
        <v>120</v>
      </c>
      <c r="F36" s="3" t="s">
        <v>595</v>
      </c>
      <c r="G36" s="3" t="s">
        <v>596</v>
      </c>
      <c r="H36" s="3" t="s">
        <v>512</v>
      </c>
      <c r="I36" s="3" t="s">
        <v>597</v>
      </c>
      <c r="J36" s="3" t="s">
        <v>598</v>
      </c>
      <c r="K36" s="3" t="s">
        <v>545</v>
      </c>
      <c r="L36" s="3" t="s">
        <v>104</v>
      </c>
      <c r="M36" s="3" t="s">
        <v>84</v>
      </c>
      <c r="N36" s="3" t="s">
        <v>104</v>
      </c>
      <c r="O36" s="3" t="s">
        <v>106</v>
      </c>
      <c r="P36" s="3" t="s">
        <v>104</v>
      </c>
      <c r="Q36" s="3"/>
      <c r="R36" s="3" t="s">
        <v>599</v>
      </c>
      <c r="S36" s="3" t="s">
        <v>600</v>
      </c>
      <c r="T36" s="3" t="s">
        <v>601</v>
      </c>
      <c r="U36" s="3" t="s">
        <v>84</v>
      </c>
      <c r="V36" s="3" t="s">
        <v>85</v>
      </c>
      <c r="W36" s="3" t="s">
        <v>602</v>
      </c>
      <c r="X36" s="3" t="s">
        <v>603</v>
      </c>
      <c r="Y36" s="3" t="s">
        <v>604</v>
      </c>
      <c r="Z36" s="3" t="s">
        <v>605</v>
      </c>
      <c r="AA36" s="3" t="s">
        <v>85</v>
      </c>
      <c r="AB36" s="3" t="s">
        <v>90</v>
      </c>
      <c r="AC36" s="3" t="s">
        <v>90</v>
      </c>
      <c r="AD36" s="3" t="s">
        <v>91</v>
      </c>
      <c r="AE36" s="3" t="s">
        <v>606</v>
      </c>
      <c r="AF36" s="3" t="s">
        <v>523</v>
      </c>
      <c r="AG36" s="3" t="s">
        <v>116</v>
      </c>
      <c r="AH36" s="3" t="str">
        <f>IF(AND(E36&lt;&gt;"",D36&lt;&gt;""),"COVERED","MISSING")</f>
        <v>COVERED</v>
      </c>
    </row>
    <row r="37" spans="1:34">
      <c r="A37" s="3" t="s">
        <v>515</v>
      </c>
      <c r="B37" s="3" t="s">
        <v>607</v>
      </c>
      <c r="C37" s="3" t="s">
        <v>608</v>
      </c>
      <c r="D37" s="3" t="s">
        <v>119</v>
      </c>
      <c r="E37" s="3" t="s">
        <v>120</v>
      </c>
      <c r="F37" s="3" t="s">
        <v>609</v>
      </c>
      <c r="G37" s="3" t="s">
        <v>428</v>
      </c>
      <c r="H37" s="3" t="s">
        <v>396</v>
      </c>
      <c r="I37" s="3" t="s">
        <v>397</v>
      </c>
      <c r="J37" s="3" t="s">
        <v>610</v>
      </c>
      <c r="K37" s="3" t="s">
        <v>545</v>
      </c>
      <c r="L37" s="3" t="s">
        <v>104</v>
      </c>
      <c r="M37" s="3" t="s">
        <v>84</v>
      </c>
      <c r="N37" s="3" t="s">
        <v>105</v>
      </c>
      <c r="O37" s="3" t="s">
        <v>106</v>
      </c>
      <c r="P37" s="3" t="s">
        <v>104</v>
      </c>
      <c r="Q37" s="3"/>
      <c r="R37" s="3" t="s">
        <v>611</v>
      </c>
      <c r="S37" s="3" t="s">
        <v>612</v>
      </c>
      <c r="T37" s="3" t="s">
        <v>613</v>
      </c>
      <c r="U37" s="3" t="s">
        <v>84</v>
      </c>
      <c r="V37" s="3" t="s">
        <v>85</v>
      </c>
      <c r="W37" s="3" t="s">
        <v>614</v>
      </c>
      <c r="X37" s="3" t="s">
        <v>615</v>
      </c>
      <c r="Y37" s="3" t="s">
        <v>616</v>
      </c>
      <c r="Z37" s="3" t="s">
        <v>617</v>
      </c>
      <c r="AA37" s="3" t="s">
        <v>85</v>
      </c>
      <c r="AB37" s="3" t="s">
        <v>114</v>
      </c>
      <c r="AC37" s="3" t="s">
        <v>90</v>
      </c>
      <c r="AD37" s="3" t="s">
        <v>91</v>
      </c>
      <c r="AE37" s="3" t="s">
        <v>618</v>
      </c>
      <c r="AF37" s="3" t="s">
        <v>619</v>
      </c>
      <c r="AG37" s="3" t="s">
        <v>116</v>
      </c>
      <c r="AH37" s="3" t="str">
        <f>IF(AND(E37&lt;&gt;"",D37&lt;&gt;""),"COVERED","MISSING")</f>
        <v>COVERED</v>
      </c>
    </row>
    <row r="38" spans="1:34">
      <c r="A38" s="3" t="s">
        <v>515</v>
      </c>
      <c r="B38" s="3" t="s">
        <v>620</v>
      </c>
      <c r="C38" s="3" t="s">
        <v>621</v>
      </c>
      <c r="D38" s="3" t="s">
        <v>119</v>
      </c>
      <c r="E38" s="3" t="s">
        <v>120</v>
      </c>
      <c r="F38" s="3" t="s">
        <v>622</v>
      </c>
      <c r="G38" s="3" t="s">
        <v>623</v>
      </c>
      <c r="H38" s="3" t="s">
        <v>624</v>
      </c>
      <c r="I38" s="3" t="s">
        <v>625</v>
      </c>
      <c r="J38" s="3" t="s">
        <v>626</v>
      </c>
      <c r="K38" s="3" t="s">
        <v>545</v>
      </c>
      <c r="L38" s="3" t="s">
        <v>104</v>
      </c>
      <c r="M38" s="3" t="s">
        <v>84</v>
      </c>
      <c r="N38" s="3" t="s">
        <v>105</v>
      </c>
      <c r="O38" s="3" t="s">
        <v>106</v>
      </c>
      <c r="P38" s="3" t="s">
        <v>104</v>
      </c>
      <c r="Q38" s="3"/>
      <c r="R38" s="3" t="s">
        <v>627</v>
      </c>
      <c r="S38" s="3" t="s">
        <v>628</v>
      </c>
      <c r="T38" s="3" t="s">
        <v>629</v>
      </c>
      <c r="U38" s="3" t="s">
        <v>84</v>
      </c>
      <c r="V38" s="3" t="s">
        <v>218</v>
      </c>
      <c r="W38" s="3" t="s">
        <v>630</v>
      </c>
      <c r="X38" s="3" t="s">
        <v>631</v>
      </c>
      <c r="Y38" s="3" t="s">
        <v>632</v>
      </c>
      <c r="Z38" s="3" t="s">
        <v>633</v>
      </c>
      <c r="AA38" s="3" t="s">
        <v>85</v>
      </c>
      <c r="AB38" s="3" t="s">
        <v>114</v>
      </c>
      <c r="AC38" s="3" t="s">
        <v>90</v>
      </c>
      <c r="AD38" s="3" t="s">
        <v>91</v>
      </c>
      <c r="AE38" s="3" t="s">
        <v>634</v>
      </c>
      <c r="AF38" s="3" t="s">
        <v>635</v>
      </c>
      <c r="AG38" s="3" t="s">
        <v>116</v>
      </c>
      <c r="AH38" s="3" t="str">
        <f>IF(AND(E38&lt;&gt;"",D38&lt;&gt;""),"COVERED","MISSING")</f>
        <v>COVERED</v>
      </c>
    </row>
    <row r="39" spans="1:34">
      <c r="A39" s="3" t="s">
        <v>515</v>
      </c>
      <c r="B39" s="3" t="s">
        <v>636</v>
      </c>
      <c r="C39" s="3" t="s">
        <v>637</v>
      </c>
      <c r="D39" s="3" t="s">
        <v>119</v>
      </c>
      <c r="E39" s="3" t="s">
        <v>120</v>
      </c>
      <c r="F39" s="3" t="s">
        <v>638</v>
      </c>
      <c r="G39" s="3" t="s">
        <v>639</v>
      </c>
      <c r="H39" s="3" t="s">
        <v>640</v>
      </c>
      <c r="I39" s="3" t="s">
        <v>641</v>
      </c>
      <c r="J39" s="3" t="s">
        <v>642</v>
      </c>
      <c r="K39" s="3" t="s">
        <v>545</v>
      </c>
      <c r="L39" s="3" t="s">
        <v>104</v>
      </c>
      <c r="M39" s="3" t="s">
        <v>84</v>
      </c>
      <c r="N39" s="3" t="s">
        <v>105</v>
      </c>
      <c r="O39" s="3" t="s">
        <v>643</v>
      </c>
      <c r="P39" s="3" t="s">
        <v>104</v>
      </c>
      <c r="Q39" s="3"/>
      <c r="R39" s="3" t="s">
        <v>644</v>
      </c>
      <c r="S39" s="3" t="s">
        <v>645</v>
      </c>
      <c r="T39" s="3" t="s">
        <v>646</v>
      </c>
      <c r="U39" s="3" t="s">
        <v>84</v>
      </c>
      <c r="V39" s="3" t="s">
        <v>218</v>
      </c>
      <c r="W39" s="3" t="s">
        <v>647</v>
      </c>
      <c r="X39" s="3" t="s">
        <v>648</v>
      </c>
      <c r="Y39" s="3" t="s">
        <v>649</v>
      </c>
      <c r="Z39" s="3" t="s">
        <v>650</v>
      </c>
      <c r="AA39" s="3" t="s">
        <v>85</v>
      </c>
      <c r="AB39" s="3" t="s">
        <v>114</v>
      </c>
      <c r="AC39" s="3" t="s">
        <v>90</v>
      </c>
      <c r="AD39" s="3" t="s">
        <v>91</v>
      </c>
      <c r="AE39" s="3" t="s">
        <v>635</v>
      </c>
      <c r="AF39" s="3" t="s">
        <v>523</v>
      </c>
      <c r="AG39" s="3" t="s">
        <v>116</v>
      </c>
      <c r="AH39" s="3" t="str">
        <f>IF(AND(E39&lt;&gt;"",D39&lt;&gt;""),"COVERED","MISSING")</f>
        <v>COVERED</v>
      </c>
    </row>
    <row r="40" spans="1:34">
      <c r="A40" s="3" t="s">
        <v>515</v>
      </c>
      <c r="B40" s="3" t="s">
        <v>651</v>
      </c>
      <c r="C40" s="3" t="s">
        <v>652</v>
      </c>
      <c r="D40" s="3" t="s">
        <v>119</v>
      </c>
      <c r="E40" s="3" t="s">
        <v>120</v>
      </c>
      <c r="F40" s="3" t="s">
        <v>653</v>
      </c>
      <c r="G40" s="3" t="s">
        <v>639</v>
      </c>
      <c r="H40" s="3" t="s">
        <v>640</v>
      </c>
      <c r="I40" s="3" t="s">
        <v>641</v>
      </c>
      <c r="J40" s="3" t="s">
        <v>642</v>
      </c>
      <c r="K40" s="3" t="s">
        <v>545</v>
      </c>
      <c r="L40" s="3" t="s">
        <v>105</v>
      </c>
      <c r="M40" s="3" t="s">
        <v>84</v>
      </c>
      <c r="N40" s="3" t="s">
        <v>105</v>
      </c>
      <c r="O40" s="3" t="s">
        <v>643</v>
      </c>
      <c r="P40" s="3" t="s">
        <v>105</v>
      </c>
      <c r="Q40" s="3"/>
      <c r="R40" s="3" t="s">
        <v>654</v>
      </c>
      <c r="S40" s="3" t="s">
        <v>655</v>
      </c>
      <c r="T40" s="3" t="s">
        <v>656</v>
      </c>
      <c r="U40" s="3" t="s">
        <v>84</v>
      </c>
      <c r="V40" s="3" t="s">
        <v>218</v>
      </c>
      <c r="W40" s="3" t="s">
        <v>657</v>
      </c>
      <c r="X40" s="3" t="s">
        <v>658</v>
      </c>
      <c r="Y40" s="3" t="s">
        <v>659</v>
      </c>
      <c r="Z40" s="3" t="s">
        <v>660</v>
      </c>
      <c r="AA40" s="3" t="s">
        <v>85</v>
      </c>
      <c r="AB40" s="3" t="s">
        <v>114</v>
      </c>
      <c r="AC40" s="3" t="s">
        <v>90</v>
      </c>
      <c r="AD40" s="3" t="s">
        <v>91</v>
      </c>
      <c r="AE40" s="3" t="s">
        <v>661</v>
      </c>
      <c r="AF40" s="3" t="s">
        <v>523</v>
      </c>
      <c r="AG40" s="3" t="s">
        <v>116</v>
      </c>
      <c r="AH40" s="3" t="str">
        <f>IF(AND(E40&lt;&gt;"",D40&lt;&gt;""),"COVERED","MISSING")</f>
        <v>COVERED</v>
      </c>
    </row>
    <row r="41" spans="1:34">
      <c r="A41" s="3" t="s">
        <v>515</v>
      </c>
      <c r="B41" s="3" t="s">
        <v>662</v>
      </c>
      <c r="C41" s="3" t="s">
        <v>663</v>
      </c>
      <c r="D41" s="3" t="s">
        <v>119</v>
      </c>
      <c r="E41" s="3" t="s">
        <v>120</v>
      </c>
      <c r="F41" s="3" t="s">
        <v>664</v>
      </c>
      <c r="G41" s="3" t="s">
        <v>639</v>
      </c>
      <c r="H41" s="3" t="s">
        <v>640</v>
      </c>
      <c r="I41" s="3" t="s">
        <v>641</v>
      </c>
      <c r="J41" s="3" t="s">
        <v>642</v>
      </c>
      <c r="K41" s="3" t="s">
        <v>545</v>
      </c>
      <c r="L41" s="3" t="s">
        <v>104</v>
      </c>
      <c r="M41" s="3" t="s">
        <v>84</v>
      </c>
      <c r="N41" s="3" t="s">
        <v>105</v>
      </c>
      <c r="O41" s="3" t="s">
        <v>643</v>
      </c>
      <c r="P41" s="3" t="s">
        <v>104</v>
      </c>
      <c r="Q41" s="3"/>
      <c r="R41" s="3" t="s">
        <v>665</v>
      </c>
      <c r="S41" s="3" t="s">
        <v>666</v>
      </c>
      <c r="T41" s="3" t="s">
        <v>667</v>
      </c>
      <c r="U41" s="3" t="s">
        <v>473</v>
      </c>
      <c r="V41" s="3" t="s">
        <v>218</v>
      </c>
      <c r="W41" s="3" t="s">
        <v>668</v>
      </c>
      <c r="X41" s="3" t="s">
        <v>669</v>
      </c>
      <c r="Y41" s="3" t="s">
        <v>670</v>
      </c>
      <c r="Z41" s="3" t="s">
        <v>671</v>
      </c>
      <c r="AA41" s="3" t="s">
        <v>85</v>
      </c>
      <c r="AB41" s="3" t="s">
        <v>114</v>
      </c>
      <c r="AC41" s="3" t="s">
        <v>90</v>
      </c>
      <c r="AD41" s="3" t="s">
        <v>91</v>
      </c>
      <c r="AE41" s="3" t="s">
        <v>635</v>
      </c>
      <c r="AF41" s="3" t="s">
        <v>553</v>
      </c>
      <c r="AG41" s="3" t="s">
        <v>116</v>
      </c>
      <c r="AH41" s="3" t="str">
        <f>IF(AND(E41&lt;&gt;"",D41&lt;&gt;""),"COVERED","MISSING")</f>
        <v>COVERED</v>
      </c>
    </row>
    <row r="42" spans="1:34">
      <c r="A42" s="3" t="s">
        <v>515</v>
      </c>
      <c r="B42" s="3" t="s">
        <v>672</v>
      </c>
      <c r="C42" s="3" t="s">
        <v>673</v>
      </c>
      <c r="D42" s="3" t="s">
        <v>119</v>
      </c>
      <c r="E42" s="3" t="s">
        <v>120</v>
      </c>
      <c r="F42" s="3" t="s">
        <v>674</v>
      </c>
      <c r="G42" s="3" t="s">
        <v>675</v>
      </c>
      <c r="H42" s="3" t="s">
        <v>676</v>
      </c>
      <c r="I42" s="3" t="s">
        <v>597</v>
      </c>
      <c r="J42" s="3" t="s">
        <v>598</v>
      </c>
      <c r="K42" s="3" t="s">
        <v>677</v>
      </c>
      <c r="L42" s="3" t="s">
        <v>105</v>
      </c>
      <c r="M42" s="3" t="s">
        <v>84</v>
      </c>
      <c r="N42" s="3" t="s">
        <v>105</v>
      </c>
      <c r="O42" s="3" t="s">
        <v>106</v>
      </c>
      <c r="P42" s="3" t="s">
        <v>105</v>
      </c>
      <c r="Q42" s="3"/>
      <c r="R42" s="3" t="s">
        <v>678</v>
      </c>
      <c r="S42" s="3" t="s">
        <v>679</v>
      </c>
      <c r="T42" s="3" t="s">
        <v>680</v>
      </c>
      <c r="U42" s="3" t="s">
        <v>84</v>
      </c>
      <c r="V42" s="3" t="s">
        <v>85</v>
      </c>
      <c r="W42" s="3" t="s">
        <v>681</v>
      </c>
      <c r="X42" s="3" t="s">
        <v>682</v>
      </c>
      <c r="Y42" s="3" t="s">
        <v>683</v>
      </c>
      <c r="Z42" s="3" t="s">
        <v>684</v>
      </c>
      <c r="AA42" s="3" t="s">
        <v>85</v>
      </c>
      <c r="AB42" s="3" t="s">
        <v>114</v>
      </c>
      <c r="AC42" s="3" t="s">
        <v>114</v>
      </c>
      <c r="AD42" s="3" t="s">
        <v>91</v>
      </c>
      <c r="AE42" s="3" t="s">
        <v>523</v>
      </c>
      <c r="AF42" s="3" t="s">
        <v>606</v>
      </c>
      <c r="AG42" s="3" t="s">
        <v>116</v>
      </c>
      <c r="AH42" s="3" t="str">
        <f>IF(AND(E42&lt;&gt;"",D42&lt;&gt;""),"COVERED","MISSING")</f>
        <v>COVERED</v>
      </c>
    </row>
    <row r="43" spans="1:34">
      <c r="A43" s="3" t="s">
        <v>515</v>
      </c>
      <c r="B43" s="3" t="s">
        <v>685</v>
      </c>
      <c r="C43" s="3" t="s">
        <v>686</v>
      </c>
      <c r="D43" s="3" t="s">
        <v>119</v>
      </c>
      <c r="E43" s="3" t="s">
        <v>120</v>
      </c>
      <c r="F43" s="3" t="s">
        <v>687</v>
      </c>
      <c r="G43" s="3" t="s">
        <v>688</v>
      </c>
      <c r="H43" s="3" t="s">
        <v>689</v>
      </c>
      <c r="I43" s="3" t="s">
        <v>597</v>
      </c>
      <c r="J43" s="3" t="s">
        <v>598</v>
      </c>
      <c r="K43" s="3" t="s">
        <v>677</v>
      </c>
      <c r="L43" s="3" t="s">
        <v>105</v>
      </c>
      <c r="M43" s="3" t="s">
        <v>84</v>
      </c>
      <c r="N43" s="3" t="s">
        <v>105</v>
      </c>
      <c r="O43" s="3" t="s">
        <v>106</v>
      </c>
      <c r="P43" s="3" t="s">
        <v>105</v>
      </c>
      <c r="Q43" s="3"/>
      <c r="R43" s="3" t="s">
        <v>690</v>
      </c>
      <c r="S43" s="3" t="s">
        <v>691</v>
      </c>
      <c r="T43" s="3" t="s">
        <v>692</v>
      </c>
      <c r="U43" s="3" t="s">
        <v>84</v>
      </c>
      <c r="V43" s="3" t="s">
        <v>85</v>
      </c>
      <c r="W43" s="3" t="s">
        <v>693</v>
      </c>
      <c r="X43" s="3" t="s">
        <v>694</v>
      </c>
      <c r="Y43" s="3" t="s">
        <v>695</v>
      </c>
      <c r="Z43" s="3" t="s">
        <v>696</v>
      </c>
      <c r="AA43" s="3" t="s">
        <v>85</v>
      </c>
      <c r="AB43" s="3" t="s">
        <v>114</v>
      </c>
      <c r="AC43" s="3" t="s">
        <v>114</v>
      </c>
      <c r="AD43" s="3" t="s">
        <v>91</v>
      </c>
      <c r="AE43" s="3" t="s">
        <v>569</v>
      </c>
      <c r="AF43" s="3" t="s">
        <v>635</v>
      </c>
      <c r="AG43" s="3" t="s">
        <v>116</v>
      </c>
      <c r="AH43" s="3" t="str">
        <f>IF(AND(E43&lt;&gt;"",D43&lt;&gt;""),"COVERED","MISSING")</f>
        <v>COVERED</v>
      </c>
    </row>
    <row r="44" spans="1:34">
      <c r="A44" s="3" t="s">
        <v>515</v>
      </c>
      <c r="B44" s="3" t="s">
        <v>697</v>
      </c>
      <c r="C44" s="3" t="s">
        <v>698</v>
      </c>
      <c r="D44" s="3" t="s">
        <v>119</v>
      </c>
      <c r="E44" s="3" t="s">
        <v>120</v>
      </c>
      <c r="F44" s="3" t="s">
        <v>699</v>
      </c>
      <c r="G44" s="3" t="s">
        <v>688</v>
      </c>
      <c r="H44" s="3" t="s">
        <v>689</v>
      </c>
      <c r="I44" s="3" t="s">
        <v>597</v>
      </c>
      <c r="J44" s="3" t="s">
        <v>598</v>
      </c>
      <c r="K44" s="3" t="s">
        <v>677</v>
      </c>
      <c r="L44" s="3" t="s">
        <v>105</v>
      </c>
      <c r="M44" s="3" t="s">
        <v>84</v>
      </c>
      <c r="N44" s="3" t="s">
        <v>105</v>
      </c>
      <c r="O44" s="3" t="s">
        <v>106</v>
      </c>
      <c r="P44" s="3" t="s">
        <v>105</v>
      </c>
      <c r="Q44" s="3"/>
      <c r="R44" s="3" t="s">
        <v>690</v>
      </c>
      <c r="S44" s="3" t="s">
        <v>700</v>
      </c>
      <c r="T44" s="3" t="s">
        <v>701</v>
      </c>
      <c r="U44" s="3" t="s">
        <v>84</v>
      </c>
      <c r="V44" s="3" t="s">
        <v>85</v>
      </c>
      <c r="W44" s="3" t="s">
        <v>702</v>
      </c>
      <c r="X44" s="3" t="s">
        <v>703</v>
      </c>
      <c r="Y44" s="3" t="s">
        <v>704</v>
      </c>
      <c r="Z44" s="3" t="s">
        <v>705</v>
      </c>
      <c r="AA44" s="3" t="s">
        <v>85</v>
      </c>
      <c r="AB44" s="3" t="s">
        <v>114</v>
      </c>
      <c r="AC44" s="3" t="s">
        <v>114</v>
      </c>
      <c r="AD44" s="3" t="s">
        <v>91</v>
      </c>
      <c r="AE44" s="3" t="s">
        <v>635</v>
      </c>
      <c r="AF44" s="3" t="s">
        <v>706</v>
      </c>
      <c r="AG44" s="3" t="s">
        <v>116</v>
      </c>
      <c r="AH44" s="3" t="str">
        <f>IF(AND(E44&lt;&gt;"",D44&lt;&gt;""),"COVERED","MISSING")</f>
        <v>COVERED</v>
      </c>
    </row>
    <row r="45" spans="1:34">
      <c r="A45" s="3" t="s">
        <v>515</v>
      </c>
      <c r="B45" s="3" t="s">
        <v>707</v>
      </c>
      <c r="C45" s="3" t="s">
        <v>708</v>
      </c>
      <c r="D45" s="3" t="s">
        <v>119</v>
      </c>
      <c r="E45" s="3" t="s">
        <v>120</v>
      </c>
      <c r="F45" s="3" t="s">
        <v>709</v>
      </c>
      <c r="G45" s="3" t="s">
        <v>623</v>
      </c>
      <c r="H45" s="3" t="s">
        <v>624</v>
      </c>
      <c r="I45" s="3" t="s">
        <v>625</v>
      </c>
      <c r="J45" s="3" t="s">
        <v>626</v>
      </c>
      <c r="K45" s="3" t="s">
        <v>545</v>
      </c>
      <c r="L45" s="3" t="s">
        <v>104</v>
      </c>
      <c r="M45" s="3" t="s">
        <v>84</v>
      </c>
      <c r="N45" s="3" t="s">
        <v>258</v>
      </c>
      <c r="O45" s="3" t="s">
        <v>106</v>
      </c>
      <c r="P45" s="3" t="s">
        <v>104</v>
      </c>
      <c r="Q45" s="3"/>
      <c r="R45" s="3" t="s">
        <v>710</v>
      </c>
      <c r="S45" s="3" t="s">
        <v>711</v>
      </c>
      <c r="T45" s="3" t="s">
        <v>712</v>
      </c>
      <c r="U45" s="3" t="s">
        <v>84</v>
      </c>
      <c r="V45" s="3" t="s">
        <v>218</v>
      </c>
      <c r="W45" s="3" t="s">
        <v>713</v>
      </c>
      <c r="X45" s="3" t="s">
        <v>714</v>
      </c>
      <c r="Y45" s="3" t="s">
        <v>715</v>
      </c>
      <c r="Z45" s="3" t="s">
        <v>716</v>
      </c>
      <c r="AA45" s="3" t="s">
        <v>85</v>
      </c>
      <c r="AB45" s="3" t="s">
        <v>267</v>
      </c>
      <c r="AC45" s="3" t="s">
        <v>90</v>
      </c>
      <c r="AD45" s="3" t="s">
        <v>91</v>
      </c>
      <c r="AE45" s="3" t="s">
        <v>634</v>
      </c>
      <c r="AF45" s="3" t="s">
        <v>635</v>
      </c>
      <c r="AG45" s="3" t="s">
        <v>116</v>
      </c>
      <c r="AH45" s="3" t="str">
        <f>IF(AND(E45&lt;&gt;"",D45&lt;&gt;""),"COVERED","MISSING")</f>
        <v>COVERED</v>
      </c>
    </row>
    <row r="46" spans="1:34">
      <c r="A46" s="3" t="s">
        <v>515</v>
      </c>
      <c r="B46" s="3" t="s">
        <v>717</v>
      </c>
      <c r="C46" s="3" t="s">
        <v>718</v>
      </c>
      <c r="D46" s="3" t="s">
        <v>119</v>
      </c>
      <c r="E46" s="3" t="s">
        <v>120</v>
      </c>
      <c r="F46" s="3" t="s">
        <v>719</v>
      </c>
      <c r="G46" s="3" t="s">
        <v>720</v>
      </c>
      <c r="H46" s="3" t="s">
        <v>208</v>
      </c>
      <c r="I46" s="3" t="s">
        <v>209</v>
      </c>
      <c r="J46" s="3" t="s">
        <v>721</v>
      </c>
      <c r="K46" s="3" t="s">
        <v>677</v>
      </c>
      <c r="L46" s="3" t="s">
        <v>258</v>
      </c>
      <c r="M46" s="3" t="s">
        <v>80</v>
      </c>
      <c r="N46" s="3" t="s">
        <v>105</v>
      </c>
      <c r="O46" s="3" t="s">
        <v>213</v>
      </c>
      <c r="P46" s="3" t="s">
        <v>258</v>
      </c>
      <c r="Q46" s="3"/>
      <c r="R46" s="3" t="s">
        <v>722</v>
      </c>
      <c r="S46" s="3" t="s">
        <v>723</v>
      </c>
      <c r="T46" s="3" t="s">
        <v>724</v>
      </c>
      <c r="U46" s="3" t="s">
        <v>84</v>
      </c>
      <c r="V46" s="3" t="s">
        <v>85</v>
      </c>
      <c r="W46" s="3" t="s">
        <v>725</v>
      </c>
      <c r="X46" s="3" t="s">
        <v>726</v>
      </c>
      <c r="Y46" s="3" t="s">
        <v>727</v>
      </c>
      <c r="Z46" s="3" t="s">
        <v>728</v>
      </c>
      <c r="AA46" s="3" t="s">
        <v>85</v>
      </c>
      <c r="AB46" s="3" t="s">
        <v>114</v>
      </c>
      <c r="AC46" s="3" t="s">
        <v>114</v>
      </c>
      <c r="AD46" s="3" t="s">
        <v>91</v>
      </c>
      <c r="AE46" s="3" t="s">
        <v>569</v>
      </c>
      <c r="AF46" s="3" t="s">
        <v>580</v>
      </c>
      <c r="AG46" s="3" t="s">
        <v>116</v>
      </c>
      <c r="AH46" s="3" t="str">
        <f>IF(AND(E46&lt;&gt;"",D46&lt;&gt;""),"COVERED","MISSING")</f>
        <v>COVERED</v>
      </c>
    </row>
    <row r="47" spans="1:34">
      <c r="A47" s="3" t="s">
        <v>515</v>
      </c>
      <c r="B47" s="3" t="s">
        <v>729</v>
      </c>
      <c r="C47" s="3" t="s">
        <v>730</v>
      </c>
      <c r="D47" s="3" t="s">
        <v>119</v>
      </c>
      <c r="E47" s="3" t="s">
        <v>120</v>
      </c>
      <c r="F47" s="3" t="s">
        <v>731</v>
      </c>
      <c r="G47" s="3" t="s">
        <v>732</v>
      </c>
      <c r="H47" s="3" t="s">
        <v>528</v>
      </c>
      <c r="I47" s="3" t="s">
        <v>733</v>
      </c>
      <c r="J47" s="3" t="s">
        <v>734</v>
      </c>
      <c r="K47" s="3" t="s">
        <v>677</v>
      </c>
      <c r="L47" s="3" t="s">
        <v>105</v>
      </c>
      <c r="M47" s="3" t="s">
        <v>212</v>
      </c>
      <c r="N47" s="3" t="s">
        <v>105</v>
      </c>
      <c r="O47" s="3" t="s">
        <v>106</v>
      </c>
      <c r="P47" s="3" t="s">
        <v>105</v>
      </c>
      <c r="Q47" s="3"/>
      <c r="R47" s="3" t="s">
        <v>735</v>
      </c>
      <c r="S47" s="3" t="s">
        <v>736</v>
      </c>
      <c r="T47" s="3" t="s">
        <v>737</v>
      </c>
      <c r="U47" s="3" t="s">
        <v>473</v>
      </c>
      <c r="V47" s="3" t="s">
        <v>85</v>
      </c>
      <c r="W47" s="3" t="s">
        <v>738</v>
      </c>
      <c r="X47" s="3" t="s">
        <v>739</v>
      </c>
      <c r="Y47" s="3" t="s">
        <v>740</v>
      </c>
      <c r="Z47" s="3" t="s">
        <v>741</v>
      </c>
      <c r="AA47" s="3" t="s">
        <v>266</v>
      </c>
      <c r="AB47" s="3" t="s">
        <v>114</v>
      </c>
      <c r="AC47" s="3" t="s">
        <v>114</v>
      </c>
      <c r="AD47" s="3" t="s">
        <v>173</v>
      </c>
      <c r="AE47" s="3" t="s">
        <v>742</v>
      </c>
      <c r="AF47" s="3" t="s">
        <v>635</v>
      </c>
      <c r="AG47" s="3" t="s">
        <v>116</v>
      </c>
      <c r="AH47" s="3" t="str">
        <f>IF(AND(E47&lt;&gt;"",D47&lt;&gt;""),"COVERED","MISSING")</f>
        <v>COVERED</v>
      </c>
    </row>
    <row r="48" spans="1:34">
      <c r="A48" s="3" t="s">
        <v>515</v>
      </c>
      <c r="B48" s="3" t="s">
        <v>743</v>
      </c>
      <c r="C48" s="3" t="s">
        <v>118</v>
      </c>
      <c r="D48" s="3" t="s">
        <v>119</v>
      </c>
      <c r="E48" s="3" t="s">
        <v>120</v>
      </c>
      <c r="F48" s="3" t="s">
        <v>744</v>
      </c>
      <c r="G48" s="3" t="s">
        <v>745</v>
      </c>
      <c r="H48" s="3" t="s">
        <v>101</v>
      </c>
      <c r="I48" s="3" t="s">
        <v>102</v>
      </c>
      <c r="J48" s="3" t="s">
        <v>746</v>
      </c>
      <c r="K48" s="3" t="s">
        <v>747</v>
      </c>
      <c r="L48" s="3" t="s">
        <v>105</v>
      </c>
      <c r="M48" s="3" t="s">
        <v>84</v>
      </c>
      <c r="N48" s="3" t="s">
        <v>105</v>
      </c>
      <c r="O48" s="3" t="s">
        <v>106</v>
      </c>
      <c r="P48" s="3" t="s">
        <v>105</v>
      </c>
      <c r="Q48" s="3"/>
      <c r="R48" s="3" t="s">
        <v>748</v>
      </c>
      <c r="S48" s="3" t="s">
        <v>749</v>
      </c>
      <c r="T48" s="3" t="s">
        <v>750</v>
      </c>
      <c r="U48" s="3" t="s">
        <v>84</v>
      </c>
      <c r="V48" s="3" t="s">
        <v>85</v>
      </c>
      <c r="W48" s="3" t="s">
        <v>751</v>
      </c>
      <c r="X48" s="3" t="s">
        <v>752</v>
      </c>
      <c r="Y48" s="3" t="s">
        <v>753</v>
      </c>
      <c r="Z48" s="3" t="s">
        <v>754</v>
      </c>
      <c r="AA48" s="3" t="s">
        <v>85</v>
      </c>
      <c r="AB48" s="3" t="s">
        <v>114</v>
      </c>
      <c r="AC48" s="3" t="s">
        <v>114</v>
      </c>
      <c r="AD48" s="3" t="s">
        <v>173</v>
      </c>
      <c r="AE48" s="3" t="s">
        <v>755</v>
      </c>
      <c r="AF48" s="3" t="s">
        <v>756</v>
      </c>
      <c r="AG48" s="3" t="s">
        <v>116</v>
      </c>
      <c r="AH48" s="3" t="str">
        <f>IF(AND(E48&lt;&gt;"",D48&lt;&gt;""),"COVERED","MISSING")</f>
        <v>COVERED</v>
      </c>
    </row>
    <row r="49" spans="1:34">
      <c r="A49" s="3" t="s">
        <v>515</v>
      </c>
      <c r="B49" s="3" t="s">
        <v>757</v>
      </c>
      <c r="C49" s="3" t="s">
        <v>758</v>
      </c>
      <c r="D49" s="3" t="s">
        <v>119</v>
      </c>
      <c r="E49" s="3" t="s">
        <v>120</v>
      </c>
      <c r="F49" s="3" t="s">
        <v>759</v>
      </c>
      <c r="G49" s="3" t="s">
        <v>179</v>
      </c>
      <c r="H49" s="3" t="s">
        <v>162</v>
      </c>
      <c r="I49" s="3" t="s">
        <v>163</v>
      </c>
      <c r="J49" s="3" t="s">
        <v>760</v>
      </c>
      <c r="K49" s="3" t="s">
        <v>747</v>
      </c>
      <c r="L49" s="3" t="s">
        <v>105</v>
      </c>
      <c r="M49" s="3" t="s">
        <v>84</v>
      </c>
      <c r="N49" s="3" t="s">
        <v>104</v>
      </c>
      <c r="O49" s="3" t="s">
        <v>106</v>
      </c>
      <c r="P49" s="3" t="s">
        <v>105</v>
      </c>
      <c r="Q49" s="3"/>
      <c r="R49" s="3" t="s">
        <v>761</v>
      </c>
      <c r="S49" s="3" t="s">
        <v>762</v>
      </c>
      <c r="T49" s="3" t="s">
        <v>763</v>
      </c>
      <c r="U49" s="3" t="s">
        <v>84</v>
      </c>
      <c r="V49" s="3" t="s">
        <v>85</v>
      </c>
      <c r="W49" s="3" t="s">
        <v>764</v>
      </c>
      <c r="X49" s="3" t="s">
        <v>765</v>
      </c>
      <c r="Y49" s="3" t="s">
        <v>766</v>
      </c>
      <c r="Z49" s="3" t="s">
        <v>767</v>
      </c>
      <c r="AA49" s="3" t="s">
        <v>85</v>
      </c>
      <c r="AB49" s="3" t="s">
        <v>90</v>
      </c>
      <c r="AC49" s="3" t="s">
        <v>267</v>
      </c>
      <c r="AD49" s="3" t="s">
        <v>173</v>
      </c>
      <c r="AE49" s="3" t="s">
        <v>635</v>
      </c>
      <c r="AF49" s="3" t="s">
        <v>553</v>
      </c>
      <c r="AG49" s="3" t="s">
        <v>116</v>
      </c>
      <c r="AH49" s="3" t="str">
        <f>IF(AND(E49&lt;&gt;"",D49&lt;&gt;""),"COVERED","MISSING")</f>
        <v>COVERED</v>
      </c>
    </row>
    <row r="50" spans="1:34">
      <c r="A50" s="3" t="s">
        <v>515</v>
      </c>
      <c r="B50" s="3" t="s">
        <v>768</v>
      </c>
      <c r="C50" s="3" t="s">
        <v>769</v>
      </c>
      <c r="D50" s="3" t="s">
        <v>119</v>
      </c>
      <c r="E50" s="3" t="s">
        <v>120</v>
      </c>
      <c r="F50" s="3" t="s">
        <v>770</v>
      </c>
      <c r="G50" s="3" t="s">
        <v>771</v>
      </c>
      <c r="H50" s="3" t="s">
        <v>396</v>
      </c>
      <c r="I50" s="3" t="s">
        <v>397</v>
      </c>
      <c r="J50" s="3" t="s">
        <v>772</v>
      </c>
      <c r="K50" s="3" t="s">
        <v>677</v>
      </c>
      <c r="L50" s="3" t="s">
        <v>105</v>
      </c>
      <c r="M50" s="3" t="s">
        <v>212</v>
      </c>
      <c r="N50" s="3" t="s">
        <v>105</v>
      </c>
      <c r="O50" s="3" t="s">
        <v>106</v>
      </c>
      <c r="P50" s="3" t="s">
        <v>105</v>
      </c>
      <c r="Q50" s="3"/>
      <c r="R50" s="3" t="s">
        <v>773</v>
      </c>
      <c r="S50" s="3" t="s">
        <v>774</v>
      </c>
      <c r="T50" s="3" t="s">
        <v>775</v>
      </c>
      <c r="U50" s="3" t="s">
        <v>473</v>
      </c>
      <c r="V50" s="3" t="s">
        <v>776</v>
      </c>
      <c r="W50" s="3" t="s">
        <v>777</v>
      </c>
      <c r="X50" s="3" t="s">
        <v>778</v>
      </c>
      <c r="Y50" s="3" t="s">
        <v>779</v>
      </c>
      <c r="Z50" s="3" t="s">
        <v>780</v>
      </c>
      <c r="AA50" s="3" t="s">
        <v>85</v>
      </c>
      <c r="AB50" s="3" t="s">
        <v>114</v>
      </c>
      <c r="AC50" s="3" t="s">
        <v>114</v>
      </c>
      <c r="AD50" s="3" t="s">
        <v>173</v>
      </c>
      <c r="AE50" s="3" t="s">
        <v>781</v>
      </c>
      <c r="AF50" s="3" t="s">
        <v>782</v>
      </c>
      <c r="AG50" s="3" t="s">
        <v>116</v>
      </c>
      <c r="AH50" s="3" t="str">
        <f>IF(AND(E50&lt;&gt;"",D50&lt;&gt;""),"COVERED","MISSING")</f>
        <v>COVERED</v>
      </c>
    </row>
    <row r="51" spans="1:34">
      <c r="A51" s="3" t="s">
        <v>515</v>
      </c>
      <c r="B51" s="3" t="s">
        <v>783</v>
      </c>
      <c r="C51" s="3" t="s">
        <v>784</v>
      </c>
      <c r="D51" s="3" t="s">
        <v>119</v>
      </c>
      <c r="E51" s="3" t="s">
        <v>120</v>
      </c>
      <c r="F51" s="3" t="s">
        <v>785</v>
      </c>
      <c r="G51" s="3" t="s">
        <v>786</v>
      </c>
      <c r="H51" s="3" t="s">
        <v>512</v>
      </c>
      <c r="I51" s="3" t="s">
        <v>597</v>
      </c>
      <c r="J51" s="3" t="s">
        <v>772</v>
      </c>
      <c r="K51" s="3" t="s">
        <v>677</v>
      </c>
      <c r="L51" s="3" t="s">
        <v>105</v>
      </c>
      <c r="M51" s="3" t="s">
        <v>212</v>
      </c>
      <c r="N51" s="3" t="s">
        <v>105</v>
      </c>
      <c r="O51" s="3" t="s">
        <v>106</v>
      </c>
      <c r="P51" s="3" t="s">
        <v>105</v>
      </c>
      <c r="Q51" s="3"/>
      <c r="R51" s="3" t="s">
        <v>787</v>
      </c>
      <c r="S51" s="3" t="s">
        <v>788</v>
      </c>
      <c r="T51" s="3" t="s">
        <v>789</v>
      </c>
      <c r="U51" s="3" t="s">
        <v>473</v>
      </c>
      <c r="V51" s="3" t="s">
        <v>218</v>
      </c>
      <c r="W51" s="3" t="s">
        <v>790</v>
      </c>
      <c r="X51" s="3" t="s">
        <v>791</v>
      </c>
      <c r="Y51" s="3" t="s">
        <v>792</v>
      </c>
      <c r="Z51" s="3" t="s">
        <v>793</v>
      </c>
      <c r="AA51" s="3" t="s">
        <v>266</v>
      </c>
      <c r="AB51" s="3" t="s">
        <v>114</v>
      </c>
      <c r="AC51" s="3" t="s">
        <v>114</v>
      </c>
      <c r="AD51" s="3" t="s">
        <v>173</v>
      </c>
      <c r="AE51" s="3" t="s">
        <v>794</v>
      </c>
      <c r="AF51" s="3" t="s">
        <v>606</v>
      </c>
      <c r="AG51" s="3" t="s">
        <v>116</v>
      </c>
      <c r="AH51" s="3" t="str">
        <f>IF(AND(E51&lt;&gt;"",D51&lt;&gt;""),"COVERED","MISSING")</f>
        <v>COVERED</v>
      </c>
    </row>
    <row r="52" spans="1:34">
      <c r="A52" s="3" t="s">
        <v>515</v>
      </c>
      <c r="B52" s="3" t="s">
        <v>795</v>
      </c>
      <c r="C52" s="3" t="s">
        <v>796</v>
      </c>
      <c r="D52" s="3" t="s">
        <v>119</v>
      </c>
      <c r="E52" s="3" t="s">
        <v>120</v>
      </c>
      <c r="F52" s="3" t="s">
        <v>797</v>
      </c>
      <c r="G52" s="3" t="s">
        <v>798</v>
      </c>
      <c r="H52" s="3" t="s">
        <v>396</v>
      </c>
      <c r="I52" s="3" t="s">
        <v>397</v>
      </c>
      <c r="J52" s="3" t="s">
        <v>772</v>
      </c>
      <c r="K52" s="3" t="s">
        <v>747</v>
      </c>
      <c r="L52" s="3" t="s">
        <v>105</v>
      </c>
      <c r="M52" s="3" t="s">
        <v>212</v>
      </c>
      <c r="N52" s="3" t="s">
        <v>105</v>
      </c>
      <c r="O52" s="3" t="s">
        <v>106</v>
      </c>
      <c r="P52" s="3" t="s">
        <v>105</v>
      </c>
      <c r="Q52" s="3"/>
      <c r="R52" s="3" t="s">
        <v>799</v>
      </c>
      <c r="S52" s="3" t="s">
        <v>800</v>
      </c>
      <c r="T52" s="3" t="s">
        <v>801</v>
      </c>
      <c r="U52" s="3" t="s">
        <v>231</v>
      </c>
      <c r="V52" s="3" t="s">
        <v>776</v>
      </c>
      <c r="W52" s="3" t="s">
        <v>802</v>
      </c>
      <c r="X52" s="3" t="s">
        <v>803</v>
      </c>
      <c r="Y52" s="3" t="s">
        <v>804</v>
      </c>
      <c r="Z52" s="3" t="s">
        <v>805</v>
      </c>
      <c r="AA52" s="3" t="s">
        <v>266</v>
      </c>
      <c r="AB52" s="3" t="s">
        <v>114</v>
      </c>
      <c r="AC52" s="3" t="s">
        <v>114</v>
      </c>
      <c r="AD52" s="3" t="s">
        <v>173</v>
      </c>
      <c r="AE52" s="3" t="s">
        <v>806</v>
      </c>
      <c r="AF52" s="3" t="s">
        <v>807</v>
      </c>
      <c r="AG52" s="3" t="s">
        <v>116</v>
      </c>
      <c r="AH52" s="3" t="str">
        <f>IF(AND(E52&lt;&gt;"",D52&lt;&gt;""),"COVERED","MISSING")</f>
        <v>COVERED</v>
      </c>
    </row>
    <row r="53" spans="1:34">
      <c r="A53" s="3" t="s">
        <v>515</v>
      </c>
      <c r="B53" s="3" t="s">
        <v>808</v>
      </c>
      <c r="C53" s="3" t="s">
        <v>193</v>
      </c>
      <c r="D53" s="3" t="s">
        <v>119</v>
      </c>
      <c r="E53" s="3" t="s">
        <v>120</v>
      </c>
      <c r="F53" s="3" t="s">
        <v>809</v>
      </c>
      <c r="G53" s="3" t="s">
        <v>161</v>
      </c>
      <c r="H53" s="3" t="s">
        <v>162</v>
      </c>
      <c r="I53" s="3" t="s">
        <v>163</v>
      </c>
      <c r="J53" s="3" t="s">
        <v>760</v>
      </c>
      <c r="K53" s="3" t="s">
        <v>747</v>
      </c>
      <c r="L53" s="3" t="s">
        <v>105</v>
      </c>
      <c r="M53" s="3" t="s">
        <v>84</v>
      </c>
      <c r="N53" s="3" t="s">
        <v>105</v>
      </c>
      <c r="O53" s="3" t="s">
        <v>106</v>
      </c>
      <c r="P53" s="3" t="s">
        <v>105</v>
      </c>
      <c r="Q53" s="3"/>
      <c r="R53" s="3" t="s">
        <v>810</v>
      </c>
      <c r="S53" s="3" t="s">
        <v>811</v>
      </c>
      <c r="T53" s="3" t="s">
        <v>812</v>
      </c>
      <c r="U53" s="3" t="s">
        <v>84</v>
      </c>
      <c r="V53" s="3" t="s">
        <v>85</v>
      </c>
      <c r="W53" s="3" t="s">
        <v>813</v>
      </c>
      <c r="X53" s="3" t="s">
        <v>814</v>
      </c>
      <c r="Y53" s="3" t="s">
        <v>815</v>
      </c>
      <c r="Z53" s="3" t="s">
        <v>816</v>
      </c>
      <c r="AA53" s="3" t="s">
        <v>85</v>
      </c>
      <c r="AB53" s="3" t="s">
        <v>114</v>
      </c>
      <c r="AC53" s="3" t="s">
        <v>267</v>
      </c>
      <c r="AD53" s="3" t="s">
        <v>173</v>
      </c>
      <c r="AE53" s="3" t="s">
        <v>635</v>
      </c>
      <c r="AF53" s="3" t="s">
        <v>523</v>
      </c>
      <c r="AG53" s="3" t="s">
        <v>116</v>
      </c>
      <c r="AH53" s="3" t="str">
        <f>IF(AND(E53&lt;&gt;"",D53&lt;&gt;""),"COVERED","MISSING")</f>
        <v>COVERED</v>
      </c>
    </row>
    <row r="54" spans="1:34">
      <c r="A54" s="3" t="s">
        <v>515</v>
      </c>
      <c r="B54" s="3" t="s">
        <v>817</v>
      </c>
      <c r="C54" s="3" t="s">
        <v>818</v>
      </c>
      <c r="D54" s="3" t="s">
        <v>119</v>
      </c>
      <c r="E54" s="3" t="s">
        <v>120</v>
      </c>
      <c r="F54" s="3" t="s">
        <v>819</v>
      </c>
      <c r="G54" s="3" t="s">
        <v>820</v>
      </c>
      <c r="H54" s="3" t="s">
        <v>512</v>
      </c>
      <c r="I54" s="3" t="s">
        <v>597</v>
      </c>
      <c r="J54" s="3" t="s">
        <v>721</v>
      </c>
      <c r="K54" s="3" t="s">
        <v>747</v>
      </c>
      <c r="L54" s="3" t="s">
        <v>258</v>
      </c>
      <c r="M54" s="3" t="s">
        <v>80</v>
      </c>
      <c r="N54" s="3" t="s">
        <v>258</v>
      </c>
      <c r="O54" s="3" t="s">
        <v>106</v>
      </c>
      <c r="P54" s="3" t="s">
        <v>258</v>
      </c>
      <c r="Q54" s="3"/>
      <c r="R54" s="3" t="s">
        <v>821</v>
      </c>
      <c r="S54" s="3" t="s">
        <v>822</v>
      </c>
      <c r="T54" s="3" t="s">
        <v>823</v>
      </c>
      <c r="U54" s="3" t="s">
        <v>84</v>
      </c>
      <c r="V54" s="3" t="s">
        <v>218</v>
      </c>
      <c r="W54" s="3" t="s">
        <v>824</v>
      </c>
      <c r="X54" s="3" t="s">
        <v>825</v>
      </c>
      <c r="Y54" s="3" t="s">
        <v>826</v>
      </c>
      <c r="Z54" s="3" t="s">
        <v>827</v>
      </c>
      <c r="AA54" s="3" t="s">
        <v>266</v>
      </c>
      <c r="AB54" s="3" t="s">
        <v>267</v>
      </c>
      <c r="AC54" s="3" t="s">
        <v>114</v>
      </c>
      <c r="AD54" s="3" t="s">
        <v>173</v>
      </c>
      <c r="AE54" s="3" t="s">
        <v>569</v>
      </c>
      <c r="AF54" s="3" t="s">
        <v>606</v>
      </c>
      <c r="AG54" s="3" t="s">
        <v>116</v>
      </c>
      <c r="AH54" s="3" t="str">
        <f>IF(AND(E54&lt;&gt;"",D54&lt;&gt;""),"COVERED","MISSING")</f>
        <v>COVERED</v>
      </c>
    </row>
    <row r="55" spans="1:34">
      <c r="A55" s="3" t="s">
        <v>515</v>
      </c>
      <c r="B55" s="3" t="s">
        <v>828</v>
      </c>
      <c r="C55" s="3" t="s">
        <v>829</v>
      </c>
      <c r="D55" s="3" t="s">
        <v>119</v>
      </c>
      <c r="E55" s="3" t="s">
        <v>120</v>
      </c>
      <c r="F55" s="3" t="s">
        <v>830</v>
      </c>
      <c r="G55" s="3" t="s">
        <v>831</v>
      </c>
      <c r="H55" s="3" t="s">
        <v>396</v>
      </c>
      <c r="I55" s="3" t="s">
        <v>397</v>
      </c>
      <c r="J55" s="3" t="s">
        <v>832</v>
      </c>
      <c r="K55" s="3" t="s">
        <v>747</v>
      </c>
      <c r="L55" s="3" t="s">
        <v>105</v>
      </c>
      <c r="M55" s="3" t="s">
        <v>84</v>
      </c>
      <c r="N55" s="3" t="s">
        <v>258</v>
      </c>
      <c r="O55" s="3" t="s">
        <v>106</v>
      </c>
      <c r="P55" s="3" t="s">
        <v>105</v>
      </c>
      <c r="Q55" s="3"/>
      <c r="R55" s="3" t="s">
        <v>833</v>
      </c>
      <c r="S55" s="3" t="s">
        <v>834</v>
      </c>
      <c r="T55" s="3" t="s">
        <v>835</v>
      </c>
      <c r="U55" s="3" t="s">
        <v>84</v>
      </c>
      <c r="V55" s="3" t="s">
        <v>218</v>
      </c>
      <c r="W55" s="3" t="s">
        <v>836</v>
      </c>
      <c r="X55" s="3" t="s">
        <v>837</v>
      </c>
      <c r="Y55" s="3" t="s">
        <v>838</v>
      </c>
      <c r="Z55" s="3" t="s">
        <v>839</v>
      </c>
      <c r="AA55" s="3" t="s">
        <v>266</v>
      </c>
      <c r="AB55" s="3" t="s">
        <v>267</v>
      </c>
      <c r="AC55" s="3" t="s">
        <v>114</v>
      </c>
      <c r="AD55" s="3" t="s">
        <v>173</v>
      </c>
      <c r="AE55" s="3" t="s">
        <v>755</v>
      </c>
      <c r="AF55" s="3" t="s">
        <v>706</v>
      </c>
      <c r="AG55" s="3" t="s">
        <v>116</v>
      </c>
      <c r="AH55" s="3" t="str">
        <f>IF(AND(E55&lt;&gt;"",D55&lt;&gt;""),"COVERED","MISSING")</f>
        <v>COVERED</v>
      </c>
    </row>
    <row r="56" spans="1:34">
      <c r="A56" s="3" t="s">
        <v>515</v>
      </c>
      <c r="B56" s="3" t="s">
        <v>840</v>
      </c>
      <c r="C56" s="3" t="s">
        <v>841</v>
      </c>
      <c r="D56" s="3" t="s">
        <v>119</v>
      </c>
      <c r="E56" s="3" t="s">
        <v>120</v>
      </c>
      <c r="F56" s="3" t="s">
        <v>842</v>
      </c>
      <c r="G56" s="3" t="s">
        <v>843</v>
      </c>
      <c r="H56" s="3" t="s">
        <v>396</v>
      </c>
      <c r="I56" s="3" t="s">
        <v>397</v>
      </c>
      <c r="J56" s="3" t="s">
        <v>772</v>
      </c>
      <c r="K56" s="3" t="s">
        <v>747</v>
      </c>
      <c r="L56" s="3" t="s">
        <v>258</v>
      </c>
      <c r="M56" s="3" t="s">
        <v>80</v>
      </c>
      <c r="N56" s="3" t="s">
        <v>258</v>
      </c>
      <c r="O56" s="3" t="s">
        <v>106</v>
      </c>
      <c r="P56" s="3" t="s">
        <v>258</v>
      </c>
      <c r="Q56" s="3"/>
      <c r="R56" s="3" t="s">
        <v>844</v>
      </c>
      <c r="S56" s="3" t="s">
        <v>845</v>
      </c>
      <c r="T56" s="3" t="s">
        <v>846</v>
      </c>
      <c r="U56" s="3" t="s">
        <v>473</v>
      </c>
      <c r="V56" s="3" t="s">
        <v>776</v>
      </c>
      <c r="W56" s="3" t="s">
        <v>847</v>
      </c>
      <c r="X56" s="3" t="s">
        <v>848</v>
      </c>
      <c r="Y56" s="3" t="s">
        <v>849</v>
      </c>
      <c r="Z56" s="3" t="s">
        <v>850</v>
      </c>
      <c r="AA56" s="3" t="s">
        <v>218</v>
      </c>
      <c r="AB56" s="3" t="s">
        <v>267</v>
      </c>
      <c r="AC56" s="3" t="s">
        <v>114</v>
      </c>
      <c r="AD56" s="3" t="s">
        <v>236</v>
      </c>
      <c r="AE56" s="3" t="s">
        <v>851</v>
      </c>
      <c r="AF56" s="3" t="s">
        <v>523</v>
      </c>
      <c r="AG56" s="3" t="s">
        <v>116</v>
      </c>
      <c r="AH56" s="3" t="str">
        <f>IF(AND(E56&lt;&gt;"",D56&lt;&gt;""),"COVERED","MISSING")</f>
        <v>COVERED</v>
      </c>
    </row>
    <row r="57" spans="1:34">
      <c r="A57" s="3" t="s">
        <v>515</v>
      </c>
      <c r="B57" s="3" t="s">
        <v>852</v>
      </c>
      <c r="C57" s="3" t="s">
        <v>853</v>
      </c>
      <c r="D57" s="3" t="s">
        <v>119</v>
      </c>
      <c r="E57" s="3" t="s">
        <v>120</v>
      </c>
      <c r="F57" s="3" t="s">
        <v>854</v>
      </c>
      <c r="G57" s="3" t="s">
        <v>798</v>
      </c>
      <c r="H57" s="3" t="s">
        <v>396</v>
      </c>
      <c r="I57" s="3" t="s">
        <v>397</v>
      </c>
      <c r="J57" s="3" t="s">
        <v>772</v>
      </c>
      <c r="K57" s="3" t="s">
        <v>747</v>
      </c>
      <c r="L57" s="3" t="s">
        <v>258</v>
      </c>
      <c r="M57" s="3" t="s">
        <v>80</v>
      </c>
      <c r="N57" s="3" t="s">
        <v>258</v>
      </c>
      <c r="O57" s="3" t="s">
        <v>106</v>
      </c>
      <c r="P57" s="3" t="s">
        <v>258</v>
      </c>
      <c r="Q57" s="3"/>
      <c r="R57" s="3" t="s">
        <v>844</v>
      </c>
      <c r="S57" s="3" t="s">
        <v>855</v>
      </c>
      <c r="T57" s="3" t="s">
        <v>856</v>
      </c>
      <c r="U57" s="3" t="s">
        <v>473</v>
      </c>
      <c r="V57" s="3" t="s">
        <v>776</v>
      </c>
      <c r="W57" s="3" t="s">
        <v>857</v>
      </c>
      <c r="X57" s="3" t="s">
        <v>858</v>
      </c>
      <c r="Y57" s="3" t="s">
        <v>859</v>
      </c>
      <c r="Z57" s="3" t="s">
        <v>860</v>
      </c>
      <c r="AA57" s="3" t="s">
        <v>218</v>
      </c>
      <c r="AB57" s="3" t="s">
        <v>267</v>
      </c>
      <c r="AC57" s="3" t="s">
        <v>114</v>
      </c>
      <c r="AD57" s="3" t="s">
        <v>236</v>
      </c>
      <c r="AE57" s="3" t="s">
        <v>861</v>
      </c>
      <c r="AF57" s="3" t="s">
        <v>580</v>
      </c>
      <c r="AG57" s="3" t="s">
        <v>116</v>
      </c>
      <c r="AH57" s="3" t="str">
        <f>IF(AND(E57&lt;&gt;"",D57&lt;&gt;""),"COVERED","MISSING")</f>
        <v>COVERED</v>
      </c>
    </row>
    <row r="58" spans="1:34">
      <c r="A58" s="3" t="s">
        <v>515</v>
      </c>
      <c r="B58" s="3" t="s">
        <v>862</v>
      </c>
      <c r="C58" s="3" t="s">
        <v>863</v>
      </c>
      <c r="D58" s="3" t="s">
        <v>410</v>
      </c>
      <c r="E58" s="3" t="s">
        <v>411</v>
      </c>
      <c r="F58" s="3" t="s">
        <v>864</v>
      </c>
      <c r="G58" s="3" t="s">
        <v>865</v>
      </c>
      <c r="H58" s="3" t="s">
        <v>396</v>
      </c>
      <c r="I58" s="3" t="s">
        <v>397</v>
      </c>
      <c r="J58" s="3" t="s">
        <v>866</v>
      </c>
      <c r="K58" s="3" t="s">
        <v>867</v>
      </c>
      <c r="L58" s="3"/>
      <c r="M58" s="3" t="s">
        <v>80</v>
      </c>
      <c r="N58" s="3"/>
      <c r="O58" s="3"/>
      <c r="P58" s="3"/>
      <c r="Q58" s="3" t="s">
        <v>868</v>
      </c>
      <c r="R58" s="3" t="s">
        <v>869</v>
      </c>
      <c r="S58" s="3" t="s">
        <v>870</v>
      </c>
      <c r="T58" s="3" t="s">
        <v>871</v>
      </c>
      <c r="U58" s="3" t="s">
        <v>84</v>
      </c>
      <c r="V58" s="3" t="s">
        <v>85</v>
      </c>
      <c r="W58" s="3" t="s">
        <v>872</v>
      </c>
      <c r="X58" s="3" t="s">
        <v>873</v>
      </c>
      <c r="Y58" s="3" t="s">
        <v>874</v>
      </c>
      <c r="Z58" s="3" t="s">
        <v>875</v>
      </c>
      <c r="AA58" s="3" t="s">
        <v>218</v>
      </c>
      <c r="AB58" s="3" t="s">
        <v>114</v>
      </c>
      <c r="AC58" s="3" t="s">
        <v>114</v>
      </c>
      <c r="AD58" s="3" t="s">
        <v>236</v>
      </c>
      <c r="AE58" s="3" t="s">
        <v>661</v>
      </c>
      <c r="AF58" s="3" t="s">
        <v>523</v>
      </c>
      <c r="AG58" s="3" t="s">
        <v>424</v>
      </c>
      <c r="AH58" s="3" t="str">
        <f>IF(AND(E58&lt;&gt;"",D58&lt;&gt;""),"COVERED","MISSING")</f>
        <v>COVERED</v>
      </c>
    </row>
    <row r="59" spans="1:34">
      <c r="A59" s="3" t="s">
        <v>515</v>
      </c>
      <c r="B59" s="3" t="s">
        <v>876</v>
      </c>
      <c r="C59" s="3" t="s">
        <v>877</v>
      </c>
      <c r="D59" s="3" t="s">
        <v>119</v>
      </c>
      <c r="E59" s="3" t="s">
        <v>120</v>
      </c>
      <c r="F59" s="3" t="s">
        <v>878</v>
      </c>
      <c r="G59" s="3" t="s">
        <v>879</v>
      </c>
      <c r="H59" s="3" t="s">
        <v>676</v>
      </c>
      <c r="I59" s="3" t="s">
        <v>163</v>
      </c>
      <c r="J59" s="3" t="s">
        <v>772</v>
      </c>
      <c r="K59" s="3" t="s">
        <v>867</v>
      </c>
      <c r="L59" s="3" t="s">
        <v>258</v>
      </c>
      <c r="M59" s="3" t="s">
        <v>80</v>
      </c>
      <c r="N59" s="3" t="s">
        <v>105</v>
      </c>
      <c r="O59" s="3" t="s">
        <v>106</v>
      </c>
      <c r="P59" s="3" t="s">
        <v>258</v>
      </c>
      <c r="Q59" s="3"/>
      <c r="R59" s="3" t="s">
        <v>880</v>
      </c>
      <c r="S59" s="3" t="s">
        <v>881</v>
      </c>
      <c r="T59" s="3" t="s">
        <v>882</v>
      </c>
      <c r="U59" s="3" t="s">
        <v>473</v>
      </c>
      <c r="V59" s="3" t="s">
        <v>776</v>
      </c>
      <c r="W59" s="3" t="s">
        <v>883</v>
      </c>
      <c r="X59" s="3" t="s">
        <v>884</v>
      </c>
      <c r="Y59" s="3" t="s">
        <v>885</v>
      </c>
      <c r="Z59" s="3" t="s">
        <v>886</v>
      </c>
      <c r="AA59" s="3" t="s">
        <v>218</v>
      </c>
      <c r="AB59" s="3" t="s">
        <v>114</v>
      </c>
      <c r="AC59" s="3" t="s">
        <v>267</v>
      </c>
      <c r="AD59" s="3" t="s">
        <v>236</v>
      </c>
      <c r="AE59" s="3" t="s">
        <v>887</v>
      </c>
      <c r="AF59" s="3" t="s">
        <v>523</v>
      </c>
      <c r="AG59" s="3" t="s">
        <v>116</v>
      </c>
      <c r="AH59" s="3" t="str">
        <f>IF(AND(E59&lt;&gt;"",D59&lt;&gt;""),"COVERED","MISSING")</f>
        <v>COVERED</v>
      </c>
    </row>
    <row r="60" spans="1:34">
      <c r="A60" s="3" t="s">
        <v>515</v>
      </c>
      <c r="B60" s="3" t="s">
        <v>888</v>
      </c>
      <c r="C60" s="3" t="s">
        <v>889</v>
      </c>
      <c r="D60" s="3" t="s">
        <v>119</v>
      </c>
      <c r="E60" s="3" t="s">
        <v>120</v>
      </c>
      <c r="F60" s="3" t="s">
        <v>890</v>
      </c>
      <c r="G60" s="3" t="s">
        <v>891</v>
      </c>
      <c r="H60" s="3" t="s">
        <v>396</v>
      </c>
      <c r="I60" s="3" t="s">
        <v>397</v>
      </c>
      <c r="J60" s="3" t="s">
        <v>721</v>
      </c>
      <c r="K60" s="3" t="s">
        <v>867</v>
      </c>
      <c r="L60" s="3" t="s">
        <v>258</v>
      </c>
      <c r="M60" s="3" t="s">
        <v>80</v>
      </c>
      <c r="N60" s="3" t="s">
        <v>258</v>
      </c>
      <c r="O60" s="3" t="s">
        <v>106</v>
      </c>
      <c r="P60" s="3" t="s">
        <v>258</v>
      </c>
      <c r="Q60" s="3"/>
      <c r="R60" s="3" t="s">
        <v>892</v>
      </c>
      <c r="S60" s="3" t="s">
        <v>893</v>
      </c>
      <c r="T60" s="3" t="s">
        <v>894</v>
      </c>
      <c r="U60" s="3" t="s">
        <v>84</v>
      </c>
      <c r="V60" s="3" t="s">
        <v>85</v>
      </c>
      <c r="W60" s="3" t="s">
        <v>895</v>
      </c>
      <c r="X60" s="3" t="s">
        <v>896</v>
      </c>
      <c r="Y60" s="3" t="s">
        <v>897</v>
      </c>
      <c r="Z60" s="3" t="s">
        <v>898</v>
      </c>
      <c r="AA60" s="3" t="s">
        <v>218</v>
      </c>
      <c r="AB60" s="3" t="s">
        <v>267</v>
      </c>
      <c r="AC60" s="3" t="s">
        <v>267</v>
      </c>
      <c r="AD60" s="3" t="s">
        <v>363</v>
      </c>
      <c r="AE60" s="3" t="s">
        <v>899</v>
      </c>
      <c r="AF60" s="3" t="s">
        <v>635</v>
      </c>
      <c r="AG60" s="3" t="s">
        <v>116</v>
      </c>
      <c r="AH60" s="3" t="str">
        <f>IF(AND(E60&lt;&gt;"",D60&lt;&gt;""),"COVERED","MISSING")</f>
        <v>COVERED</v>
      </c>
    </row>
    <row r="61" spans="1:34">
      <c r="A61" s="3" t="s">
        <v>515</v>
      </c>
      <c r="B61" s="3" t="s">
        <v>900</v>
      </c>
      <c r="C61" s="3" t="s">
        <v>901</v>
      </c>
      <c r="D61" s="3" t="s">
        <v>119</v>
      </c>
      <c r="E61" s="3" t="s">
        <v>120</v>
      </c>
      <c r="F61" s="3" t="s">
        <v>902</v>
      </c>
      <c r="G61" s="3" t="s">
        <v>820</v>
      </c>
      <c r="H61" s="3" t="s">
        <v>512</v>
      </c>
      <c r="I61" s="3" t="s">
        <v>597</v>
      </c>
      <c r="J61" s="3" t="s">
        <v>721</v>
      </c>
      <c r="K61" s="3" t="s">
        <v>867</v>
      </c>
      <c r="L61" s="3" t="s">
        <v>258</v>
      </c>
      <c r="M61" s="3" t="s">
        <v>80</v>
      </c>
      <c r="N61" s="3" t="s">
        <v>258</v>
      </c>
      <c r="O61" s="3" t="s">
        <v>106</v>
      </c>
      <c r="P61" s="3" t="s">
        <v>258</v>
      </c>
      <c r="Q61" s="3"/>
      <c r="R61" s="3" t="s">
        <v>903</v>
      </c>
      <c r="S61" s="3" t="s">
        <v>904</v>
      </c>
      <c r="T61" s="3" t="s">
        <v>905</v>
      </c>
      <c r="U61" s="3" t="s">
        <v>84</v>
      </c>
      <c r="V61" s="3" t="s">
        <v>218</v>
      </c>
      <c r="W61" s="3" t="s">
        <v>906</v>
      </c>
      <c r="X61" s="3" t="s">
        <v>907</v>
      </c>
      <c r="Y61" s="3" t="s">
        <v>908</v>
      </c>
      <c r="Z61" s="3" t="s">
        <v>909</v>
      </c>
      <c r="AA61" s="3" t="s">
        <v>218</v>
      </c>
      <c r="AB61" s="3" t="s">
        <v>267</v>
      </c>
      <c r="AC61" s="3" t="s">
        <v>267</v>
      </c>
      <c r="AD61" s="3" t="s">
        <v>363</v>
      </c>
      <c r="AE61" s="3" t="s">
        <v>635</v>
      </c>
      <c r="AF61" s="3" t="s">
        <v>706</v>
      </c>
      <c r="AG61" s="3" t="s">
        <v>116</v>
      </c>
      <c r="AH61" s="3" t="str">
        <f>IF(AND(E61&lt;&gt;"",D61&lt;&gt;""),"COVERED","MISSING")</f>
        <v>COVERED</v>
      </c>
    </row>
    <row r="62" spans="1:34">
      <c r="A62" s="3" t="s">
        <v>515</v>
      </c>
      <c r="B62" s="3" t="s">
        <v>910</v>
      </c>
      <c r="C62" s="3" t="s">
        <v>911</v>
      </c>
      <c r="D62" s="3" t="s">
        <v>119</v>
      </c>
      <c r="E62" s="3" t="s">
        <v>120</v>
      </c>
      <c r="F62" s="3" t="s">
        <v>912</v>
      </c>
      <c r="G62" s="3" t="s">
        <v>913</v>
      </c>
      <c r="H62" s="3" t="s">
        <v>676</v>
      </c>
      <c r="I62" s="3" t="s">
        <v>597</v>
      </c>
      <c r="J62" s="3" t="s">
        <v>914</v>
      </c>
      <c r="K62" s="3" t="s">
        <v>915</v>
      </c>
      <c r="L62" s="3" t="s">
        <v>258</v>
      </c>
      <c r="M62" s="3" t="s">
        <v>80</v>
      </c>
      <c r="N62" s="3" t="s">
        <v>258</v>
      </c>
      <c r="O62" s="3" t="s">
        <v>106</v>
      </c>
      <c r="P62" s="3" t="s">
        <v>258</v>
      </c>
      <c r="Q62" s="3"/>
      <c r="R62" s="3" t="s">
        <v>916</v>
      </c>
      <c r="S62" s="3" t="s">
        <v>917</v>
      </c>
      <c r="T62" s="3" t="s">
        <v>918</v>
      </c>
      <c r="U62" s="3" t="s">
        <v>84</v>
      </c>
      <c r="V62" s="3" t="s">
        <v>85</v>
      </c>
      <c r="W62" s="3" t="s">
        <v>919</v>
      </c>
      <c r="X62" s="3" t="s">
        <v>920</v>
      </c>
      <c r="Y62" s="3" t="s">
        <v>921</v>
      </c>
      <c r="Z62" s="3" t="s">
        <v>922</v>
      </c>
      <c r="AA62" s="3" t="s">
        <v>85</v>
      </c>
      <c r="AB62" s="3" t="s">
        <v>267</v>
      </c>
      <c r="AC62" s="3" t="s">
        <v>923</v>
      </c>
      <c r="AD62" s="3" t="s">
        <v>363</v>
      </c>
      <c r="AE62" s="3" t="s">
        <v>924</v>
      </c>
      <c r="AF62" s="3" t="s">
        <v>925</v>
      </c>
      <c r="AG62" s="3" t="s">
        <v>116</v>
      </c>
      <c r="AH62" s="3" t="str">
        <f>IF(AND(E62&lt;&gt;"",D62&lt;&gt;""),"COVERED","MISSING")</f>
        <v>COVERED</v>
      </c>
    </row>
    <row r="63" spans="1:34">
      <c r="A63" s="3" t="s">
        <v>515</v>
      </c>
      <c r="B63" s="3" t="s">
        <v>926</v>
      </c>
      <c r="C63" s="3" t="s">
        <v>145</v>
      </c>
      <c r="D63" s="3" t="s">
        <v>119</v>
      </c>
      <c r="E63" s="3" t="s">
        <v>120</v>
      </c>
      <c r="F63" s="3" t="s">
        <v>927</v>
      </c>
      <c r="G63" s="3" t="s">
        <v>745</v>
      </c>
      <c r="H63" s="3" t="s">
        <v>101</v>
      </c>
      <c r="I63" s="3" t="s">
        <v>102</v>
      </c>
      <c r="J63" s="3" t="s">
        <v>928</v>
      </c>
      <c r="K63" s="3" t="s">
        <v>915</v>
      </c>
      <c r="L63" s="3" t="s">
        <v>354</v>
      </c>
      <c r="M63" s="3" t="s">
        <v>80</v>
      </c>
      <c r="N63" s="3" t="s">
        <v>258</v>
      </c>
      <c r="O63" s="3" t="s">
        <v>106</v>
      </c>
      <c r="P63" s="3" t="s">
        <v>354</v>
      </c>
      <c r="Q63" s="3"/>
      <c r="R63" s="3" t="s">
        <v>929</v>
      </c>
      <c r="S63" s="3" t="s">
        <v>930</v>
      </c>
      <c r="T63" s="3" t="s">
        <v>931</v>
      </c>
      <c r="U63" s="3" t="s">
        <v>84</v>
      </c>
      <c r="V63" s="3" t="s">
        <v>85</v>
      </c>
      <c r="W63" s="3" t="s">
        <v>932</v>
      </c>
      <c r="X63" s="3" t="s">
        <v>933</v>
      </c>
      <c r="Y63" s="3" t="s">
        <v>934</v>
      </c>
      <c r="Z63" s="3" t="s">
        <v>935</v>
      </c>
      <c r="AA63" s="3" t="s">
        <v>266</v>
      </c>
      <c r="AB63" s="3" t="s">
        <v>267</v>
      </c>
      <c r="AC63" s="3" t="s">
        <v>923</v>
      </c>
      <c r="AD63" s="3" t="s">
        <v>457</v>
      </c>
      <c r="AE63" s="3" t="s">
        <v>936</v>
      </c>
      <c r="AF63" s="3" t="s">
        <v>391</v>
      </c>
      <c r="AG63" s="3" t="s">
        <v>116</v>
      </c>
      <c r="AH63" s="3" t="str">
        <f>IF(AND(E63&lt;&gt;"",D63&lt;&gt;""),"COVERED","MISSING")</f>
        <v>COVERED</v>
      </c>
    </row>
    <row r="64" spans="1:34">
      <c r="A64" s="3" t="s">
        <v>515</v>
      </c>
      <c r="B64" s="3" t="s">
        <v>937</v>
      </c>
      <c r="C64" s="3" t="s">
        <v>938</v>
      </c>
      <c r="D64" s="3" t="s">
        <v>119</v>
      </c>
      <c r="E64" s="3" t="s">
        <v>120</v>
      </c>
      <c r="F64" s="3" t="s">
        <v>939</v>
      </c>
      <c r="G64" s="3" t="s">
        <v>940</v>
      </c>
      <c r="H64" s="3" t="s">
        <v>689</v>
      </c>
      <c r="I64" s="3" t="s">
        <v>597</v>
      </c>
      <c r="J64" s="3" t="s">
        <v>832</v>
      </c>
      <c r="K64" s="3" t="s">
        <v>915</v>
      </c>
      <c r="L64" s="3" t="s">
        <v>354</v>
      </c>
      <c r="M64" s="3" t="s">
        <v>80</v>
      </c>
      <c r="N64" s="3" t="s">
        <v>258</v>
      </c>
      <c r="O64" s="3" t="s">
        <v>106</v>
      </c>
      <c r="P64" s="3" t="s">
        <v>354</v>
      </c>
      <c r="Q64" s="3"/>
      <c r="R64" s="3" t="s">
        <v>941</v>
      </c>
      <c r="S64" s="3" t="s">
        <v>942</v>
      </c>
      <c r="T64" s="3" t="s">
        <v>943</v>
      </c>
      <c r="U64" s="3" t="s">
        <v>84</v>
      </c>
      <c r="V64" s="3" t="s">
        <v>218</v>
      </c>
      <c r="W64" s="3" t="s">
        <v>944</v>
      </c>
      <c r="X64" s="3" t="s">
        <v>945</v>
      </c>
      <c r="Y64" s="3" t="s">
        <v>946</v>
      </c>
      <c r="Z64" s="3" t="s">
        <v>947</v>
      </c>
      <c r="AA64" s="3" t="s">
        <v>406</v>
      </c>
      <c r="AB64" s="3" t="s">
        <v>267</v>
      </c>
      <c r="AC64" s="3" t="s">
        <v>923</v>
      </c>
      <c r="AD64" s="3" t="s">
        <v>457</v>
      </c>
      <c r="AE64" s="3" t="s">
        <v>580</v>
      </c>
      <c r="AF64" s="3" t="s">
        <v>592</v>
      </c>
      <c r="AG64" s="3" t="s">
        <v>116</v>
      </c>
      <c r="AH64" s="3" t="str">
        <f>IF(AND(E64&lt;&gt;"",D64&lt;&gt;""),"COVERED","MISSING")</f>
        <v>COVERED</v>
      </c>
    </row>
    <row r="65" spans="1:34">
      <c r="A65" s="3" t="s">
        <v>515</v>
      </c>
      <c r="B65" s="3" t="s">
        <v>948</v>
      </c>
      <c r="C65" s="3" t="s">
        <v>949</v>
      </c>
      <c r="D65" s="3" t="s">
        <v>119</v>
      </c>
      <c r="E65" s="3" t="s">
        <v>120</v>
      </c>
      <c r="F65" s="3" t="s">
        <v>950</v>
      </c>
      <c r="G65" s="3" t="s">
        <v>623</v>
      </c>
      <c r="H65" s="3" t="s">
        <v>624</v>
      </c>
      <c r="I65" s="3" t="s">
        <v>625</v>
      </c>
      <c r="J65" s="3" t="s">
        <v>721</v>
      </c>
      <c r="K65" s="3" t="s">
        <v>915</v>
      </c>
      <c r="L65" s="3" t="s">
        <v>354</v>
      </c>
      <c r="M65" s="3" t="s">
        <v>80</v>
      </c>
      <c r="N65" s="3" t="s">
        <v>354</v>
      </c>
      <c r="O65" s="3" t="s">
        <v>106</v>
      </c>
      <c r="P65" s="3" t="s">
        <v>354</v>
      </c>
      <c r="Q65" s="3"/>
      <c r="R65" s="3" t="s">
        <v>951</v>
      </c>
      <c r="S65" s="3" t="s">
        <v>952</v>
      </c>
      <c r="T65" s="3" t="s">
        <v>953</v>
      </c>
      <c r="U65" s="3" t="s">
        <v>84</v>
      </c>
      <c r="V65" s="3" t="s">
        <v>85</v>
      </c>
      <c r="W65" s="3" t="s">
        <v>954</v>
      </c>
      <c r="X65" s="3" t="s">
        <v>955</v>
      </c>
      <c r="Y65" s="3" t="s">
        <v>956</v>
      </c>
      <c r="Z65" s="3" t="s">
        <v>957</v>
      </c>
      <c r="AA65" s="3" t="s">
        <v>218</v>
      </c>
      <c r="AB65" s="3" t="s">
        <v>923</v>
      </c>
      <c r="AC65" s="3" t="s">
        <v>923</v>
      </c>
      <c r="AD65" s="3" t="s">
        <v>457</v>
      </c>
      <c r="AE65" s="3" t="s">
        <v>634</v>
      </c>
      <c r="AF65" s="3" t="s">
        <v>635</v>
      </c>
      <c r="AG65" s="3" t="s">
        <v>116</v>
      </c>
      <c r="AH65" s="3" t="str">
        <f>IF(AND(E65&lt;&gt;"",D65&lt;&gt;""),"COVERED","MISSING")</f>
        <v>COVERED</v>
      </c>
    </row>
    <row r="66" spans="1:34">
      <c r="A66" s="3" t="s">
        <v>515</v>
      </c>
      <c r="B66" s="3" t="s">
        <v>958</v>
      </c>
      <c r="C66" s="3" t="s">
        <v>959</v>
      </c>
      <c r="D66" s="3" t="s">
        <v>440</v>
      </c>
      <c r="E66" s="3" t="s">
        <v>441</v>
      </c>
      <c r="F66" s="3" t="s">
        <v>960</v>
      </c>
      <c r="G66" s="3" t="s">
        <v>961</v>
      </c>
      <c r="H66" s="3" t="s">
        <v>962</v>
      </c>
      <c r="I66" s="3" t="s">
        <v>209</v>
      </c>
      <c r="J66" s="3" t="s">
        <v>963</v>
      </c>
      <c r="K66" s="3" t="s">
        <v>964</v>
      </c>
      <c r="L66" s="3"/>
      <c r="M66" s="3" t="s">
        <v>80</v>
      </c>
      <c r="N66" s="3"/>
      <c r="O66" s="3"/>
      <c r="P66" s="3"/>
      <c r="Q66" s="3" t="s">
        <v>447</v>
      </c>
      <c r="R66" s="3" t="s">
        <v>965</v>
      </c>
      <c r="S66" s="3" t="s">
        <v>966</v>
      </c>
      <c r="T66" s="3" t="s">
        <v>967</v>
      </c>
      <c r="U66" s="3" t="s">
        <v>231</v>
      </c>
      <c r="V66" s="3" t="s">
        <v>85</v>
      </c>
      <c r="W66" s="3" t="s">
        <v>451</v>
      </c>
      <c r="X66" s="3" t="s">
        <v>968</v>
      </c>
      <c r="Y66" s="3" t="s">
        <v>969</v>
      </c>
      <c r="Z66" s="3" t="s">
        <v>970</v>
      </c>
      <c r="AA66" s="3" t="s">
        <v>218</v>
      </c>
      <c r="AB66" s="3" t="s">
        <v>923</v>
      </c>
      <c r="AC66" s="3" t="s">
        <v>923</v>
      </c>
      <c r="AD66" s="3" t="s">
        <v>423</v>
      </c>
      <c r="AE66" s="3" t="s">
        <v>971</v>
      </c>
      <c r="AF66" s="3" t="s">
        <v>706</v>
      </c>
      <c r="AG66" s="3" t="s">
        <v>460</v>
      </c>
      <c r="AH66" s="3" t="str">
        <f>IF(AND(E66&lt;&gt;"",D66&lt;&gt;""),"COVERED","MISSING")</f>
        <v>COVERED</v>
      </c>
    </row>
    <row r="67" spans="1:34">
      <c r="A67" s="3" t="s">
        <v>515</v>
      </c>
      <c r="B67" s="3" t="s">
        <v>972</v>
      </c>
      <c r="C67" s="3" t="s">
        <v>973</v>
      </c>
      <c r="D67" s="3" t="s">
        <v>410</v>
      </c>
      <c r="E67" s="3" t="s">
        <v>411</v>
      </c>
      <c r="F67" s="3" t="s">
        <v>974</v>
      </c>
      <c r="G67" s="3" t="s">
        <v>975</v>
      </c>
      <c r="H67" s="3" t="s">
        <v>396</v>
      </c>
      <c r="I67" s="3" t="s">
        <v>397</v>
      </c>
      <c r="J67" s="3" t="s">
        <v>976</v>
      </c>
      <c r="K67" s="3" t="s">
        <v>977</v>
      </c>
      <c r="L67" s="3"/>
      <c r="M67" s="3" t="s">
        <v>80</v>
      </c>
      <c r="N67" s="3"/>
      <c r="O67" s="3"/>
      <c r="P67" s="3"/>
      <c r="Q67" s="3" t="s">
        <v>978</v>
      </c>
      <c r="R67" s="3" t="s">
        <v>869</v>
      </c>
      <c r="S67" s="3" t="s">
        <v>979</v>
      </c>
      <c r="T67" s="3" t="s">
        <v>980</v>
      </c>
      <c r="U67" s="3" t="s">
        <v>84</v>
      </c>
      <c r="V67" s="3" t="s">
        <v>85</v>
      </c>
      <c r="W67" s="3" t="s">
        <v>981</v>
      </c>
      <c r="X67" s="3" t="s">
        <v>982</v>
      </c>
      <c r="Y67" s="3" t="s">
        <v>983</v>
      </c>
      <c r="Z67" s="3" t="s">
        <v>984</v>
      </c>
      <c r="AA67" s="3" t="s">
        <v>218</v>
      </c>
      <c r="AB67" s="3" t="s">
        <v>267</v>
      </c>
      <c r="AC67" s="3" t="s">
        <v>456</v>
      </c>
      <c r="AD67" s="3" t="s">
        <v>423</v>
      </c>
      <c r="AE67" s="3" t="s">
        <v>661</v>
      </c>
      <c r="AF67" s="3" t="s">
        <v>618</v>
      </c>
      <c r="AG67" s="3" t="s">
        <v>424</v>
      </c>
      <c r="AH67" s="3" t="str">
        <f>IF(AND(E67&lt;&gt;"",D67&lt;&gt;""),"COVERED","MISSING")</f>
        <v>COVERED</v>
      </c>
    </row>
    <row r="68" spans="1:34">
      <c r="A68" s="3" t="s">
        <v>515</v>
      </c>
      <c r="B68" s="3" t="s">
        <v>985</v>
      </c>
      <c r="C68" s="3" t="s">
        <v>986</v>
      </c>
      <c r="D68" s="3" t="s">
        <v>410</v>
      </c>
      <c r="E68" s="3" t="s">
        <v>411</v>
      </c>
      <c r="F68" s="3" t="s">
        <v>987</v>
      </c>
      <c r="G68" s="3" t="s">
        <v>226</v>
      </c>
      <c r="H68" s="3" t="s">
        <v>162</v>
      </c>
      <c r="I68" s="3" t="s">
        <v>163</v>
      </c>
      <c r="J68" s="3" t="s">
        <v>467</v>
      </c>
      <c r="K68" s="3" t="s">
        <v>988</v>
      </c>
      <c r="L68" s="3"/>
      <c r="M68" s="3" t="s">
        <v>80</v>
      </c>
      <c r="N68" s="3"/>
      <c r="O68" s="3"/>
      <c r="P68" s="3"/>
      <c r="Q68" s="3" t="s">
        <v>69</v>
      </c>
      <c r="R68" s="3" t="s">
        <v>989</v>
      </c>
      <c r="S68" s="3" t="s">
        <v>990</v>
      </c>
      <c r="T68" s="3" t="s">
        <v>991</v>
      </c>
      <c r="U68" s="3" t="s">
        <v>84</v>
      </c>
      <c r="V68" s="3" t="s">
        <v>85</v>
      </c>
      <c r="W68" s="3" t="s">
        <v>992</v>
      </c>
      <c r="X68" s="3" t="s">
        <v>993</v>
      </c>
      <c r="Y68" s="3" t="s">
        <v>994</v>
      </c>
      <c r="Z68" s="3" t="s">
        <v>995</v>
      </c>
      <c r="AA68" s="3" t="s">
        <v>85</v>
      </c>
      <c r="AB68" s="3" t="s">
        <v>114</v>
      </c>
      <c r="AC68" s="3" t="s">
        <v>456</v>
      </c>
      <c r="AD68" s="3" t="s">
        <v>423</v>
      </c>
      <c r="AE68" s="3" t="s">
        <v>996</v>
      </c>
      <c r="AF68" s="3" t="s">
        <v>924</v>
      </c>
      <c r="AG68" s="3" t="s">
        <v>424</v>
      </c>
      <c r="AH68" s="3" t="str">
        <f>IF(AND(E68&lt;&gt;"",D68&lt;&gt;""),"COVERED","MISSING")</f>
        <v>COVERED</v>
      </c>
    </row>
    <row r="69" spans="1:34">
      <c r="A69" s="3" t="s">
        <v>515</v>
      </c>
      <c r="B69" s="3" t="s">
        <v>997</v>
      </c>
      <c r="C69" s="3" t="s">
        <v>71</v>
      </c>
      <c r="D69" s="3" t="s">
        <v>410</v>
      </c>
      <c r="E69" s="3" t="s">
        <v>411</v>
      </c>
      <c r="F69" s="3" t="s">
        <v>998</v>
      </c>
      <c r="G69" s="3" t="s">
        <v>999</v>
      </c>
      <c r="H69" s="3" t="s">
        <v>162</v>
      </c>
      <c r="I69" s="3" t="s">
        <v>497</v>
      </c>
      <c r="J69" s="3" t="s">
        <v>467</v>
      </c>
      <c r="K69" s="3" t="s">
        <v>988</v>
      </c>
      <c r="L69" s="3"/>
      <c r="M69" s="3" t="s">
        <v>80</v>
      </c>
      <c r="N69" s="3"/>
      <c r="O69" s="3"/>
      <c r="P69" s="3"/>
      <c r="Q69" s="3" t="s">
        <v>69</v>
      </c>
      <c r="R69" s="3" t="s">
        <v>1000</v>
      </c>
      <c r="S69" s="3" t="s">
        <v>1001</v>
      </c>
      <c r="T69" s="3" t="s">
        <v>1002</v>
      </c>
      <c r="U69" s="3" t="s">
        <v>84</v>
      </c>
      <c r="V69" s="3" t="s">
        <v>85</v>
      </c>
      <c r="W69" s="3" t="s">
        <v>1003</v>
      </c>
      <c r="X69" s="3" t="s">
        <v>1004</v>
      </c>
      <c r="Y69" s="3" t="s">
        <v>1005</v>
      </c>
      <c r="Z69" s="3" t="s">
        <v>1006</v>
      </c>
      <c r="AA69" s="3" t="s">
        <v>85</v>
      </c>
      <c r="AB69" s="3" t="s">
        <v>114</v>
      </c>
      <c r="AC69" s="3" t="s">
        <v>456</v>
      </c>
      <c r="AD69" s="3" t="s">
        <v>423</v>
      </c>
      <c r="AE69" s="3" t="s">
        <v>391</v>
      </c>
      <c r="AF69" s="3" t="s">
        <v>756</v>
      </c>
      <c r="AG69" s="3" t="s">
        <v>424</v>
      </c>
      <c r="AH69" s="3" t="str">
        <f>IF(AND(E69&lt;&gt;"",D69&lt;&gt;""),"COVERED","MISSING")</f>
        <v>COVERED</v>
      </c>
    </row>
    <row r="70" spans="1:34">
      <c r="A70" s="3" t="s">
        <v>515</v>
      </c>
      <c r="B70" s="3" t="s">
        <v>1007</v>
      </c>
      <c r="C70" s="3" t="s">
        <v>1008</v>
      </c>
      <c r="D70" s="3" t="s">
        <v>410</v>
      </c>
      <c r="E70" s="3" t="s">
        <v>411</v>
      </c>
      <c r="F70" s="3" t="s">
        <v>1009</v>
      </c>
      <c r="G70" s="3" t="s">
        <v>100</v>
      </c>
      <c r="H70" s="3" t="s">
        <v>101</v>
      </c>
      <c r="I70" s="3" t="s">
        <v>102</v>
      </c>
      <c r="J70" s="3" t="s">
        <v>467</v>
      </c>
      <c r="K70" s="3" t="s">
        <v>988</v>
      </c>
      <c r="L70" s="3"/>
      <c r="M70" s="3" t="s">
        <v>80</v>
      </c>
      <c r="N70" s="3"/>
      <c r="O70" s="3"/>
      <c r="P70" s="3"/>
      <c r="Q70" s="3" t="s">
        <v>69</v>
      </c>
      <c r="R70" s="3" t="s">
        <v>1010</v>
      </c>
      <c r="S70" s="3" t="s">
        <v>1011</v>
      </c>
      <c r="T70" s="3" t="s">
        <v>1012</v>
      </c>
      <c r="U70" s="3" t="s">
        <v>84</v>
      </c>
      <c r="V70" s="3" t="s">
        <v>85</v>
      </c>
      <c r="W70" s="3" t="s">
        <v>1013</v>
      </c>
      <c r="X70" s="3" t="s">
        <v>1014</v>
      </c>
      <c r="Y70" s="3" t="s">
        <v>1015</v>
      </c>
      <c r="Z70" s="3" t="s">
        <v>1016</v>
      </c>
      <c r="AA70" s="3" t="s">
        <v>266</v>
      </c>
      <c r="AB70" s="3" t="s">
        <v>267</v>
      </c>
      <c r="AC70" s="3" t="s">
        <v>456</v>
      </c>
      <c r="AD70" s="3" t="s">
        <v>423</v>
      </c>
      <c r="AE70" s="3" t="s">
        <v>936</v>
      </c>
      <c r="AF70" s="3" t="s">
        <v>391</v>
      </c>
      <c r="AG70" s="3" t="s">
        <v>424</v>
      </c>
      <c r="AH70" s="3" t="str">
        <f>IF(AND(E70&lt;&gt;"",D70&lt;&gt;""),"COVERED","MISSING")</f>
        <v>COVERED</v>
      </c>
    </row>
    <row r="71" spans="1:34">
      <c r="A71" s="3" t="s">
        <v>515</v>
      </c>
      <c r="B71" s="3" t="s">
        <v>1017</v>
      </c>
      <c r="C71" s="3" t="s">
        <v>494</v>
      </c>
      <c r="D71" s="3" t="s">
        <v>410</v>
      </c>
      <c r="E71" s="3" t="s">
        <v>411</v>
      </c>
      <c r="F71" s="3" t="s">
        <v>1018</v>
      </c>
      <c r="G71" s="3" t="s">
        <v>496</v>
      </c>
      <c r="H71" s="3" t="s">
        <v>465</v>
      </c>
      <c r="I71" s="3" t="s">
        <v>497</v>
      </c>
      <c r="J71" s="3" t="s">
        <v>467</v>
      </c>
      <c r="K71" s="3" t="s">
        <v>499</v>
      </c>
      <c r="L71" s="3"/>
      <c r="M71" s="3" t="s">
        <v>80</v>
      </c>
      <c r="N71" s="3"/>
      <c r="O71" s="3"/>
      <c r="P71" s="3"/>
      <c r="Q71" s="3" t="s">
        <v>500</v>
      </c>
      <c r="R71" s="3" t="s">
        <v>1019</v>
      </c>
      <c r="S71" s="3" t="s">
        <v>1020</v>
      </c>
      <c r="T71" s="3" t="s">
        <v>1021</v>
      </c>
      <c r="U71" s="3" t="s">
        <v>84</v>
      </c>
      <c r="V71" s="3" t="s">
        <v>85</v>
      </c>
      <c r="W71" s="3" t="s">
        <v>1022</v>
      </c>
      <c r="X71" s="3" t="s">
        <v>1023</v>
      </c>
      <c r="Y71" s="3" t="s">
        <v>1024</v>
      </c>
      <c r="Z71" s="3" t="s">
        <v>1025</v>
      </c>
      <c r="AA71" s="3" t="s">
        <v>85</v>
      </c>
      <c r="AB71" s="3" t="s">
        <v>90</v>
      </c>
      <c r="AC71" s="3" t="s">
        <v>456</v>
      </c>
      <c r="AD71" s="3" t="s">
        <v>423</v>
      </c>
      <c r="AE71" s="3" t="s">
        <v>1026</v>
      </c>
      <c r="AF71" s="3" t="s">
        <v>635</v>
      </c>
      <c r="AG71" s="3" t="s">
        <v>424</v>
      </c>
      <c r="AH71" s="3" t="str">
        <f>IF(AND(E71&lt;&gt;"",D71&lt;&gt;""),"COVERED","MISSING")</f>
        <v>COVERED</v>
      </c>
    </row>
    <row r="72" spans="1:34">
      <c r="A72" s="3" t="s">
        <v>515</v>
      </c>
      <c r="B72" s="3" t="s">
        <v>1027</v>
      </c>
      <c r="C72" s="3" t="s">
        <v>525</v>
      </c>
      <c r="D72" s="3" t="s">
        <v>410</v>
      </c>
      <c r="E72" s="3" t="s">
        <v>411</v>
      </c>
      <c r="F72" s="3" t="s">
        <v>1028</v>
      </c>
      <c r="G72" s="3" t="s">
        <v>527</v>
      </c>
      <c r="H72" s="3" t="s">
        <v>528</v>
      </c>
      <c r="I72" s="3" t="s">
        <v>497</v>
      </c>
      <c r="J72" s="3" t="s">
        <v>467</v>
      </c>
      <c r="K72" s="3" t="s">
        <v>530</v>
      </c>
      <c r="L72" s="3"/>
      <c r="M72" s="3" t="s">
        <v>80</v>
      </c>
      <c r="N72" s="3"/>
      <c r="O72" s="3"/>
      <c r="P72" s="3"/>
      <c r="Q72" s="3" t="s">
        <v>531</v>
      </c>
      <c r="R72" s="3" t="s">
        <v>532</v>
      </c>
      <c r="S72" s="3" t="s">
        <v>1029</v>
      </c>
      <c r="T72" s="3" t="s">
        <v>1030</v>
      </c>
      <c r="U72" s="3" t="s">
        <v>84</v>
      </c>
      <c r="V72" s="3" t="s">
        <v>85</v>
      </c>
      <c r="W72" s="3" t="s">
        <v>1031</v>
      </c>
      <c r="X72" s="3" t="s">
        <v>1032</v>
      </c>
      <c r="Y72" s="3" t="s">
        <v>1033</v>
      </c>
      <c r="Z72" s="3" t="s">
        <v>1034</v>
      </c>
      <c r="AA72" s="3" t="s">
        <v>85</v>
      </c>
      <c r="AB72" s="3" t="s">
        <v>90</v>
      </c>
      <c r="AC72" s="3" t="s">
        <v>456</v>
      </c>
      <c r="AD72" s="3" t="s">
        <v>423</v>
      </c>
      <c r="AE72" s="3" t="s">
        <v>539</v>
      </c>
      <c r="AF72" s="3" t="s">
        <v>635</v>
      </c>
      <c r="AG72" s="3" t="s">
        <v>424</v>
      </c>
      <c r="AH72" s="3" t="str">
        <f>IF(AND(E72&lt;&gt;"",D72&lt;&gt;""),"COVERED","MISSING")</f>
        <v>COVERED</v>
      </c>
    </row>
    <row r="73" spans="1:34">
      <c r="A73" s="3" t="s">
        <v>531</v>
      </c>
      <c r="B73" s="3" t="s">
        <v>1035</v>
      </c>
      <c r="C73" s="3" t="s">
        <v>1036</v>
      </c>
      <c r="D73" s="3" t="s">
        <v>119</v>
      </c>
      <c r="E73" s="3" t="s">
        <v>120</v>
      </c>
      <c r="F73" s="3" t="s">
        <v>1037</v>
      </c>
      <c r="G73" s="3" t="s">
        <v>1038</v>
      </c>
      <c r="H73" s="3" t="s">
        <v>528</v>
      </c>
      <c r="I73" s="3" t="s">
        <v>733</v>
      </c>
      <c r="J73" s="3" t="s">
        <v>1039</v>
      </c>
      <c r="K73" s="3" t="s">
        <v>1040</v>
      </c>
      <c r="L73" s="3" t="s">
        <v>104</v>
      </c>
      <c r="M73" s="3" t="s">
        <v>84</v>
      </c>
      <c r="N73" s="3" t="s">
        <v>104</v>
      </c>
      <c r="O73" s="3" t="s">
        <v>106</v>
      </c>
      <c r="P73" s="3"/>
      <c r="Q73" s="3"/>
      <c r="R73" s="3" t="s">
        <v>1041</v>
      </c>
      <c r="S73" s="3" t="s">
        <v>1042</v>
      </c>
      <c r="T73" s="3" t="s">
        <v>1043</v>
      </c>
      <c r="U73" s="3" t="s">
        <v>84</v>
      </c>
      <c r="V73" s="3" t="s">
        <v>85</v>
      </c>
      <c r="W73" s="3" t="s">
        <v>1044</v>
      </c>
      <c r="X73" s="3" t="s">
        <v>1045</v>
      </c>
      <c r="Y73" s="3" t="s">
        <v>1046</v>
      </c>
      <c r="Z73" s="3" t="s">
        <v>1047</v>
      </c>
      <c r="AA73" s="3" t="s">
        <v>85</v>
      </c>
      <c r="AB73" s="3" t="s">
        <v>90</v>
      </c>
      <c r="AC73" s="3" t="s">
        <v>90</v>
      </c>
      <c r="AD73" s="3" t="s">
        <v>91</v>
      </c>
      <c r="AE73" s="3" t="s">
        <v>539</v>
      </c>
      <c r="AF73" s="3" t="s">
        <v>1048</v>
      </c>
      <c r="AG73" s="3" t="s">
        <v>116</v>
      </c>
      <c r="AH73" s="3" t="str">
        <f>IF(AND(E73&lt;&gt;"",D73&lt;&gt;""),"COVERED","MISSING")</f>
        <v>COVERED</v>
      </c>
    </row>
    <row r="74" spans="1:34">
      <c r="A74" s="3" t="s">
        <v>531</v>
      </c>
      <c r="B74" s="3" t="s">
        <v>1049</v>
      </c>
      <c r="C74" s="3" t="s">
        <v>1050</v>
      </c>
      <c r="D74" s="3" t="s">
        <v>556</v>
      </c>
      <c r="E74" s="3" t="s">
        <v>557</v>
      </c>
      <c r="F74" s="3" t="s">
        <v>1051</v>
      </c>
      <c r="G74" s="3" t="s">
        <v>1038</v>
      </c>
      <c r="H74" s="3" t="s">
        <v>528</v>
      </c>
      <c r="I74" s="3" t="s">
        <v>733</v>
      </c>
      <c r="J74" s="3" t="s">
        <v>103</v>
      </c>
      <c r="K74" s="3" t="s">
        <v>1052</v>
      </c>
      <c r="L74" s="3"/>
      <c r="M74" s="3" t="s">
        <v>80</v>
      </c>
      <c r="N74" s="3"/>
      <c r="O74" s="3"/>
      <c r="P74" s="3"/>
      <c r="Q74" s="3"/>
      <c r="R74" s="3" t="s">
        <v>1053</v>
      </c>
      <c r="S74" s="3" t="s">
        <v>1054</v>
      </c>
      <c r="T74" s="3" t="s">
        <v>1055</v>
      </c>
      <c r="U74" s="3" t="s">
        <v>84</v>
      </c>
      <c r="V74" s="3" t="s">
        <v>85</v>
      </c>
      <c r="W74" s="3" t="s">
        <v>1056</v>
      </c>
      <c r="X74" s="3" t="s">
        <v>1057</v>
      </c>
      <c r="Y74" s="3" t="s">
        <v>1058</v>
      </c>
      <c r="Z74" s="3" t="s">
        <v>1059</v>
      </c>
      <c r="AA74" s="3" t="s">
        <v>266</v>
      </c>
      <c r="AB74" s="3" t="s">
        <v>90</v>
      </c>
      <c r="AC74" s="3" t="s">
        <v>90</v>
      </c>
      <c r="AD74" s="3" t="s">
        <v>91</v>
      </c>
      <c r="AE74" s="3" t="s">
        <v>539</v>
      </c>
      <c r="AF74" s="3" t="s">
        <v>1048</v>
      </c>
      <c r="AG74" s="3" t="s">
        <v>94</v>
      </c>
      <c r="AH74" s="3" t="str">
        <f>IF(AND(E74&lt;&gt;"",D74&lt;&gt;""),"COVERED","MISSING")</f>
        <v>COVERED</v>
      </c>
    </row>
    <row r="75" spans="1:34">
      <c r="A75" s="3" t="s">
        <v>531</v>
      </c>
      <c r="B75" s="3" t="s">
        <v>1060</v>
      </c>
      <c r="C75" s="3" t="s">
        <v>1061</v>
      </c>
      <c r="D75" s="3" t="s">
        <v>119</v>
      </c>
      <c r="E75" s="3" t="s">
        <v>120</v>
      </c>
      <c r="F75" s="3" t="s">
        <v>1062</v>
      </c>
      <c r="G75" s="3" t="s">
        <v>1063</v>
      </c>
      <c r="H75" s="3" t="s">
        <v>1064</v>
      </c>
      <c r="I75" s="3" t="s">
        <v>1065</v>
      </c>
      <c r="J75" s="3" t="s">
        <v>642</v>
      </c>
      <c r="K75" s="3" t="s">
        <v>1066</v>
      </c>
      <c r="L75" s="3" t="s">
        <v>104</v>
      </c>
      <c r="M75" s="3" t="s">
        <v>84</v>
      </c>
      <c r="N75" s="3" t="s">
        <v>105</v>
      </c>
      <c r="O75" s="3" t="s">
        <v>643</v>
      </c>
      <c r="P75" s="3"/>
      <c r="Q75" s="3"/>
      <c r="R75" s="3" t="s">
        <v>1067</v>
      </c>
      <c r="S75" s="3" t="s">
        <v>1068</v>
      </c>
      <c r="T75" s="3" t="s">
        <v>1069</v>
      </c>
      <c r="U75" s="3" t="s">
        <v>84</v>
      </c>
      <c r="V75" s="3" t="s">
        <v>85</v>
      </c>
      <c r="W75" s="3" t="s">
        <v>1070</v>
      </c>
      <c r="X75" s="3" t="s">
        <v>1071</v>
      </c>
      <c r="Y75" s="3" t="s">
        <v>1072</v>
      </c>
      <c r="Z75" s="3" t="s">
        <v>1073</v>
      </c>
      <c r="AA75" s="3" t="s">
        <v>85</v>
      </c>
      <c r="AB75" s="3" t="s">
        <v>114</v>
      </c>
      <c r="AC75" s="3" t="s">
        <v>90</v>
      </c>
      <c r="AD75" s="3" t="s">
        <v>91</v>
      </c>
      <c r="AE75" s="3" t="s">
        <v>1074</v>
      </c>
      <c r="AF75" s="3" t="s">
        <v>1075</v>
      </c>
      <c r="AG75" s="3" t="s">
        <v>116</v>
      </c>
      <c r="AH75" s="3" t="str">
        <f>IF(AND(E75&lt;&gt;"",D75&lt;&gt;""),"COVERED","MISSING")</f>
        <v>COVERED</v>
      </c>
    </row>
    <row r="76" spans="1:34">
      <c r="A76" s="3" t="s">
        <v>531</v>
      </c>
      <c r="B76" s="3" t="s">
        <v>1076</v>
      </c>
      <c r="C76" s="3" t="s">
        <v>1077</v>
      </c>
      <c r="D76" s="3" t="s">
        <v>119</v>
      </c>
      <c r="E76" s="3" t="s">
        <v>120</v>
      </c>
      <c r="F76" s="3" t="s">
        <v>1078</v>
      </c>
      <c r="G76" s="3" t="s">
        <v>1063</v>
      </c>
      <c r="H76" s="3" t="s">
        <v>1064</v>
      </c>
      <c r="I76" s="3" t="s">
        <v>1065</v>
      </c>
      <c r="J76" s="3" t="s">
        <v>642</v>
      </c>
      <c r="K76" s="3" t="s">
        <v>1066</v>
      </c>
      <c r="L76" s="3" t="s">
        <v>104</v>
      </c>
      <c r="M76" s="3" t="s">
        <v>84</v>
      </c>
      <c r="N76" s="3" t="s">
        <v>105</v>
      </c>
      <c r="O76" s="3" t="s">
        <v>643</v>
      </c>
      <c r="P76" s="3"/>
      <c r="Q76" s="3"/>
      <c r="R76" s="3" t="s">
        <v>1079</v>
      </c>
      <c r="S76" s="3" t="s">
        <v>1080</v>
      </c>
      <c r="T76" s="3" t="s">
        <v>1081</v>
      </c>
      <c r="U76" s="3" t="s">
        <v>84</v>
      </c>
      <c r="V76" s="3" t="s">
        <v>85</v>
      </c>
      <c r="W76" s="3" t="s">
        <v>1082</v>
      </c>
      <c r="X76" s="3" t="s">
        <v>1083</v>
      </c>
      <c r="Y76" s="3" t="s">
        <v>1084</v>
      </c>
      <c r="Z76" s="3" t="s">
        <v>1085</v>
      </c>
      <c r="AA76" s="3" t="s">
        <v>85</v>
      </c>
      <c r="AB76" s="3" t="s">
        <v>114</v>
      </c>
      <c r="AC76" s="3" t="s">
        <v>90</v>
      </c>
      <c r="AD76" s="3" t="s">
        <v>91</v>
      </c>
      <c r="AE76" s="3" t="s">
        <v>540</v>
      </c>
      <c r="AF76" s="3" t="s">
        <v>1086</v>
      </c>
      <c r="AG76" s="3" t="s">
        <v>116</v>
      </c>
      <c r="AH76" s="3" t="str">
        <f>IF(AND(E76&lt;&gt;"",D76&lt;&gt;""),"COVERED","MISSING")</f>
        <v>COVERED</v>
      </c>
    </row>
    <row r="77" spans="1:34">
      <c r="A77" s="3" t="s">
        <v>531</v>
      </c>
      <c r="B77" s="3" t="s">
        <v>1087</v>
      </c>
      <c r="C77" s="3" t="s">
        <v>1088</v>
      </c>
      <c r="D77" s="3" t="s">
        <v>119</v>
      </c>
      <c r="E77" s="3" t="s">
        <v>120</v>
      </c>
      <c r="F77" s="3" t="s">
        <v>1089</v>
      </c>
      <c r="G77" s="3" t="s">
        <v>1090</v>
      </c>
      <c r="H77" s="3" t="s">
        <v>1091</v>
      </c>
      <c r="I77" s="3" t="s">
        <v>1065</v>
      </c>
      <c r="J77" s="3" t="s">
        <v>642</v>
      </c>
      <c r="K77" s="3" t="s">
        <v>1066</v>
      </c>
      <c r="L77" s="3" t="s">
        <v>104</v>
      </c>
      <c r="M77" s="3" t="s">
        <v>84</v>
      </c>
      <c r="N77" s="3" t="s">
        <v>105</v>
      </c>
      <c r="O77" s="3" t="s">
        <v>643</v>
      </c>
      <c r="P77" s="3"/>
      <c r="Q77" s="3"/>
      <c r="R77" s="3" t="s">
        <v>1092</v>
      </c>
      <c r="S77" s="3" t="s">
        <v>1093</v>
      </c>
      <c r="T77" s="3" t="s">
        <v>1094</v>
      </c>
      <c r="U77" s="3" t="s">
        <v>84</v>
      </c>
      <c r="V77" s="3" t="s">
        <v>85</v>
      </c>
      <c r="W77" s="3" t="s">
        <v>1095</v>
      </c>
      <c r="X77" s="3" t="s">
        <v>1096</v>
      </c>
      <c r="Y77" s="3" t="s">
        <v>1097</v>
      </c>
      <c r="Z77" s="3" t="s">
        <v>1098</v>
      </c>
      <c r="AA77" s="3" t="s">
        <v>85</v>
      </c>
      <c r="AB77" s="3" t="s">
        <v>114</v>
      </c>
      <c r="AC77" s="3" t="s">
        <v>90</v>
      </c>
      <c r="AD77" s="3" t="s">
        <v>91</v>
      </c>
      <c r="AE77" s="3" t="s">
        <v>1099</v>
      </c>
      <c r="AF77" s="3" t="s">
        <v>540</v>
      </c>
      <c r="AG77" s="3" t="s">
        <v>116</v>
      </c>
      <c r="AH77" s="3" t="str">
        <f>IF(AND(E77&lt;&gt;"",D77&lt;&gt;""),"COVERED","MISSING")</f>
        <v>COVERED</v>
      </c>
    </row>
    <row r="78" spans="1:34">
      <c r="A78" s="3" t="s">
        <v>531</v>
      </c>
      <c r="B78" s="3" t="s">
        <v>1100</v>
      </c>
      <c r="C78" s="3" t="s">
        <v>1101</v>
      </c>
      <c r="D78" s="3" t="s">
        <v>119</v>
      </c>
      <c r="E78" s="3" t="s">
        <v>120</v>
      </c>
      <c r="F78" s="3" t="s">
        <v>1102</v>
      </c>
      <c r="G78" s="3" t="s">
        <v>1038</v>
      </c>
      <c r="H78" s="3" t="s">
        <v>528</v>
      </c>
      <c r="I78" s="3" t="s">
        <v>733</v>
      </c>
      <c r="J78" s="3" t="s">
        <v>1103</v>
      </c>
      <c r="K78" s="3" t="s">
        <v>1104</v>
      </c>
      <c r="L78" s="3" t="s">
        <v>104</v>
      </c>
      <c r="M78" s="3" t="s">
        <v>84</v>
      </c>
      <c r="N78" s="3" t="s">
        <v>104</v>
      </c>
      <c r="O78" s="3" t="s">
        <v>106</v>
      </c>
      <c r="P78" s="3"/>
      <c r="Q78" s="3"/>
      <c r="R78" s="3" t="s">
        <v>1105</v>
      </c>
      <c r="S78" s="3" t="s">
        <v>1106</v>
      </c>
      <c r="T78" s="3" t="s">
        <v>1107</v>
      </c>
      <c r="U78" s="3" t="s">
        <v>84</v>
      </c>
      <c r="V78" s="3" t="s">
        <v>85</v>
      </c>
      <c r="W78" s="3" t="s">
        <v>1108</v>
      </c>
      <c r="X78" s="3" t="s">
        <v>1109</v>
      </c>
      <c r="Y78" s="3" t="s">
        <v>1110</v>
      </c>
      <c r="Z78" s="3" t="s">
        <v>1111</v>
      </c>
      <c r="AA78" s="3" t="s">
        <v>85</v>
      </c>
      <c r="AB78" s="3" t="s">
        <v>90</v>
      </c>
      <c r="AC78" s="3" t="s">
        <v>114</v>
      </c>
      <c r="AD78" s="3" t="s">
        <v>91</v>
      </c>
      <c r="AE78" s="3" t="s">
        <v>1048</v>
      </c>
      <c r="AF78" s="3" t="s">
        <v>1112</v>
      </c>
      <c r="AG78" s="3" t="s">
        <v>116</v>
      </c>
      <c r="AH78" s="3" t="str">
        <f>IF(AND(E78&lt;&gt;"",D78&lt;&gt;""),"COVERED","MISSING")</f>
        <v>COVERED</v>
      </c>
    </row>
    <row r="79" spans="1:34">
      <c r="A79" s="3" t="s">
        <v>531</v>
      </c>
      <c r="B79" s="3" t="s">
        <v>1113</v>
      </c>
      <c r="C79" s="3" t="s">
        <v>1114</v>
      </c>
      <c r="D79" s="3" t="s">
        <v>119</v>
      </c>
      <c r="E79" s="3" t="s">
        <v>120</v>
      </c>
      <c r="F79" s="3" t="s">
        <v>1115</v>
      </c>
      <c r="G79" s="3" t="s">
        <v>1116</v>
      </c>
      <c r="H79" s="3" t="s">
        <v>962</v>
      </c>
      <c r="I79" s="3" t="s">
        <v>1117</v>
      </c>
      <c r="J79" s="3" t="s">
        <v>1118</v>
      </c>
      <c r="K79" s="3" t="s">
        <v>1119</v>
      </c>
      <c r="L79" s="3" t="s">
        <v>104</v>
      </c>
      <c r="M79" s="3" t="s">
        <v>212</v>
      </c>
      <c r="N79" s="3" t="s">
        <v>105</v>
      </c>
      <c r="O79" s="3" t="s">
        <v>213</v>
      </c>
      <c r="P79" s="3"/>
      <c r="Q79" s="3"/>
      <c r="R79" s="3" t="s">
        <v>1120</v>
      </c>
      <c r="S79" s="3" t="s">
        <v>1121</v>
      </c>
      <c r="T79" s="3" t="s">
        <v>1122</v>
      </c>
      <c r="U79" s="3" t="s">
        <v>217</v>
      </c>
      <c r="V79" s="3" t="s">
        <v>218</v>
      </c>
      <c r="W79" s="3" t="s">
        <v>1123</v>
      </c>
      <c r="X79" s="3" t="s">
        <v>1124</v>
      </c>
      <c r="Y79" s="3" t="s">
        <v>1125</v>
      </c>
      <c r="Z79" s="3" t="s">
        <v>1126</v>
      </c>
      <c r="AA79" s="3" t="s">
        <v>85</v>
      </c>
      <c r="AB79" s="3" t="s">
        <v>114</v>
      </c>
      <c r="AC79" s="3" t="s">
        <v>114</v>
      </c>
      <c r="AD79" s="3" t="s">
        <v>173</v>
      </c>
      <c r="AE79" s="3" t="s">
        <v>1127</v>
      </c>
      <c r="AF79" s="3" t="s">
        <v>1128</v>
      </c>
      <c r="AG79" s="3" t="s">
        <v>116</v>
      </c>
      <c r="AH79" s="3" t="str">
        <f>IF(AND(E79&lt;&gt;"",D79&lt;&gt;""),"COVERED","MISSING")</f>
        <v>COVERED</v>
      </c>
    </row>
    <row r="80" spans="1:34">
      <c r="A80" s="3" t="s">
        <v>531</v>
      </c>
      <c r="B80" s="3" t="s">
        <v>1129</v>
      </c>
      <c r="C80" s="3" t="s">
        <v>1130</v>
      </c>
      <c r="D80" s="3" t="s">
        <v>119</v>
      </c>
      <c r="E80" s="3" t="s">
        <v>120</v>
      </c>
      <c r="F80" s="3" t="s">
        <v>1131</v>
      </c>
      <c r="G80" s="3" t="s">
        <v>1038</v>
      </c>
      <c r="H80" s="3" t="s">
        <v>528</v>
      </c>
      <c r="I80" s="3" t="s">
        <v>733</v>
      </c>
      <c r="J80" s="3" t="s">
        <v>1132</v>
      </c>
      <c r="K80" s="3" t="s">
        <v>1133</v>
      </c>
      <c r="L80" s="3" t="s">
        <v>105</v>
      </c>
      <c r="M80" s="3" t="s">
        <v>84</v>
      </c>
      <c r="N80" s="3" t="s">
        <v>105</v>
      </c>
      <c r="O80" s="3" t="s">
        <v>106</v>
      </c>
      <c r="P80" s="3"/>
      <c r="Q80" s="3"/>
      <c r="R80" s="3" t="s">
        <v>1134</v>
      </c>
      <c r="S80" s="3" t="s">
        <v>1135</v>
      </c>
      <c r="T80" s="3" t="s">
        <v>1136</v>
      </c>
      <c r="U80" s="3" t="s">
        <v>84</v>
      </c>
      <c r="V80" s="3" t="s">
        <v>85</v>
      </c>
      <c r="W80" s="3" t="s">
        <v>738</v>
      </c>
      <c r="X80" s="3" t="s">
        <v>1137</v>
      </c>
      <c r="Y80" s="3" t="s">
        <v>1138</v>
      </c>
      <c r="Z80" s="3" t="s">
        <v>1139</v>
      </c>
      <c r="AA80" s="3" t="s">
        <v>266</v>
      </c>
      <c r="AB80" s="3" t="s">
        <v>114</v>
      </c>
      <c r="AC80" s="3" t="s">
        <v>114</v>
      </c>
      <c r="AD80" s="3" t="s">
        <v>173</v>
      </c>
      <c r="AE80" s="3" t="s">
        <v>1140</v>
      </c>
      <c r="AF80" s="3" t="s">
        <v>1112</v>
      </c>
      <c r="AG80" s="3" t="s">
        <v>116</v>
      </c>
      <c r="AH80" s="3" t="str">
        <f>IF(AND(E80&lt;&gt;"",D80&lt;&gt;""),"COVERED","MISSING")</f>
        <v>COVERED</v>
      </c>
    </row>
    <row r="81" spans="1:34">
      <c r="A81" s="3" t="s">
        <v>531</v>
      </c>
      <c r="B81" s="3" t="s">
        <v>1141</v>
      </c>
      <c r="C81" s="3" t="s">
        <v>1142</v>
      </c>
      <c r="D81" s="3" t="s">
        <v>119</v>
      </c>
      <c r="E81" s="3" t="s">
        <v>120</v>
      </c>
      <c r="F81" s="3" t="s">
        <v>1143</v>
      </c>
      <c r="G81" s="3" t="s">
        <v>1144</v>
      </c>
      <c r="H81" s="3" t="s">
        <v>689</v>
      </c>
      <c r="I81" s="3" t="s">
        <v>1065</v>
      </c>
      <c r="J81" s="3" t="s">
        <v>642</v>
      </c>
      <c r="K81" s="3" t="s">
        <v>1104</v>
      </c>
      <c r="L81" s="3" t="s">
        <v>105</v>
      </c>
      <c r="M81" s="3" t="s">
        <v>84</v>
      </c>
      <c r="N81" s="3" t="s">
        <v>105</v>
      </c>
      <c r="O81" s="3" t="s">
        <v>643</v>
      </c>
      <c r="P81" s="3"/>
      <c r="Q81" s="3"/>
      <c r="R81" s="3" t="s">
        <v>1145</v>
      </c>
      <c r="S81" s="3" t="s">
        <v>1146</v>
      </c>
      <c r="T81" s="3" t="s">
        <v>1147</v>
      </c>
      <c r="U81" s="3" t="s">
        <v>84</v>
      </c>
      <c r="V81" s="3" t="s">
        <v>85</v>
      </c>
      <c r="W81" s="3" t="s">
        <v>1148</v>
      </c>
      <c r="X81" s="3" t="s">
        <v>1149</v>
      </c>
      <c r="Y81" s="3" t="s">
        <v>1150</v>
      </c>
      <c r="Z81" s="3" t="s">
        <v>1151</v>
      </c>
      <c r="AA81" s="3" t="s">
        <v>85</v>
      </c>
      <c r="AB81" s="3" t="s">
        <v>114</v>
      </c>
      <c r="AC81" s="3" t="s">
        <v>114</v>
      </c>
      <c r="AD81" s="3" t="s">
        <v>173</v>
      </c>
      <c r="AE81" s="3" t="s">
        <v>1152</v>
      </c>
      <c r="AF81" s="3" t="s">
        <v>1153</v>
      </c>
      <c r="AG81" s="3" t="s">
        <v>116</v>
      </c>
      <c r="AH81" s="3" t="str">
        <f>IF(AND(E81&lt;&gt;"",D81&lt;&gt;""),"COVERED","MISSING")</f>
        <v>COVERED</v>
      </c>
    </row>
    <row r="82" spans="1:34">
      <c r="A82" s="3" t="s">
        <v>531</v>
      </c>
      <c r="B82" s="3" t="s">
        <v>1154</v>
      </c>
      <c r="C82" s="3" t="s">
        <v>1155</v>
      </c>
      <c r="D82" s="3" t="s">
        <v>119</v>
      </c>
      <c r="E82" s="3" t="s">
        <v>120</v>
      </c>
      <c r="F82" s="3" t="s">
        <v>1156</v>
      </c>
      <c r="G82" s="3" t="s">
        <v>1157</v>
      </c>
      <c r="H82" s="3" t="s">
        <v>1064</v>
      </c>
      <c r="I82" s="3" t="s">
        <v>1117</v>
      </c>
      <c r="J82" s="3" t="s">
        <v>1158</v>
      </c>
      <c r="K82" s="3" t="s">
        <v>1159</v>
      </c>
      <c r="L82" s="3" t="s">
        <v>105</v>
      </c>
      <c r="M82" s="3" t="s">
        <v>212</v>
      </c>
      <c r="N82" s="3" t="s">
        <v>105</v>
      </c>
      <c r="O82" s="3" t="s">
        <v>213</v>
      </c>
      <c r="P82" s="3"/>
      <c r="Q82" s="3"/>
      <c r="R82" s="3" t="s">
        <v>1160</v>
      </c>
      <c r="S82" s="3" t="s">
        <v>1161</v>
      </c>
      <c r="T82" s="3" t="s">
        <v>1162</v>
      </c>
      <c r="U82" s="3" t="s">
        <v>84</v>
      </c>
      <c r="V82" s="3" t="s">
        <v>218</v>
      </c>
      <c r="W82" s="3" t="s">
        <v>1163</v>
      </c>
      <c r="X82" s="3" t="s">
        <v>1164</v>
      </c>
      <c r="Y82" s="3" t="s">
        <v>1165</v>
      </c>
      <c r="Z82" s="3" t="s">
        <v>1166</v>
      </c>
      <c r="AA82" s="3" t="s">
        <v>85</v>
      </c>
      <c r="AB82" s="3" t="s">
        <v>114</v>
      </c>
      <c r="AC82" s="3" t="s">
        <v>114</v>
      </c>
      <c r="AD82" s="3" t="s">
        <v>173</v>
      </c>
      <c r="AE82" s="3" t="s">
        <v>1074</v>
      </c>
      <c r="AF82" s="3" t="s">
        <v>1086</v>
      </c>
      <c r="AG82" s="3" t="s">
        <v>116</v>
      </c>
      <c r="AH82" s="3" t="str">
        <f>IF(AND(E82&lt;&gt;"",D82&lt;&gt;""),"COVERED","MISSING")</f>
        <v>COVERED</v>
      </c>
    </row>
    <row r="83" spans="1:34">
      <c r="A83" s="3" t="s">
        <v>531</v>
      </c>
      <c r="B83" s="3" t="s">
        <v>1167</v>
      </c>
      <c r="C83" s="3" t="s">
        <v>1168</v>
      </c>
      <c r="D83" s="3" t="s">
        <v>119</v>
      </c>
      <c r="E83" s="3" t="s">
        <v>120</v>
      </c>
      <c r="F83" s="3" t="s">
        <v>1169</v>
      </c>
      <c r="G83" s="3" t="s">
        <v>1038</v>
      </c>
      <c r="H83" s="3" t="s">
        <v>528</v>
      </c>
      <c r="I83" s="3" t="s">
        <v>733</v>
      </c>
      <c r="J83" s="3" t="s">
        <v>1170</v>
      </c>
      <c r="K83" s="3" t="s">
        <v>1171</v>
      </c>
      <c r="L83" s="3" t="s">
        <v>105</v>
      </c>
      <c r="M83" s="3" t="s">
        <v>84</v>
      </c>
      <c r="N83" s="3" t="s">
        <v>105</v>
      </c>
      <c r="O83" s="3" t="s">
        <v>106</v>
      </c>
      <c r="P83" s="3"/>
      <c r="Q83" s="3"/>
      <c r="R83" s="3" t="s">
        <v>1172</v>
      </c>
      <c r="S83" s="3" t="s">
        <v>1173</v>
      </c>
      <c r="T83" s="3" t="s">
        <v>1174</v>
      </c>
      <c r="U83" s="3" t="s">
        <v>84</v>
      </c>
      <c r="V83" s="3" t="s">
        <v>85</v>
      </c>
      <c r="W83" s="3" t="s">
        <v>1175</v>
      </c>
      <c r="X83" s="3" t="s">
        <v>1176</v>
      </c>
      <c r="Y83" s="3" t="s">
        <v>1177</v>
      </c>
      <c r="Z83" s="3" t="s">
        <v>1178</v>
      </c>
      <c r="AA83" s="3" t="s">
        <v>85</v>
      </c>
      <c r="AB83" s="3" t="s">
        <v>114</v>
      </c>
      <c r="AC83" s="3" t="s">
        <v>114</v>
      </c>
      <c r="AD83" s="3" t="s">
        <v>173</v>
      </c>
      <c r="AE83" s="3" t="s">
        <v>1179</v>
      </c>
      <c r="AF83" s="3" t="s">
        <v>1127</v>
      </c>
      <c r="AG83" s="3" t="s">
        <v>116</v>
      </c>
      <c r="AH83" s="3" t="str">
        <f>IF(AND(E83&lt;&gt;"",D83&lt;&gt;""),"COVERED","MISSING")</f>
        <v>COVERED</v>
      </c>
    </row>
    <row r="84" spans="1:34">
      <c r="A84" s="3" t="s">
        <v>531</v>
      </c>
      <c r="B84" s="3" t="s">
        <v>1180</v>
      </c>
      <c r="C84" s="3" t="s">
        <v>1181</v>
      </c>
      <c r="D84" s="3" t="s">
        <v>119</v>
      </c>
      <c r="E84" s="3" t="s">
        <v>120</v>
      </c>
      <c r="F84" s="3" t="s">
        <v>1182</v>
      </c>
      <c r="G84" s="3" t="s">
        <v>1183</v>
      </c>
      <c r="H84" s="3" t="s">
        <v>1091</v>
      </c>
      <c r="I84" s="3" t="s">
        <v>1065</v>
      </c>
      <c r="J84" s="3" t="s">
        <v>642</v>
      </c>
      <c r="K84" s="3" t="s">
        <v>1104</v>
      </c>
      <c r="L84" s="3" t="s">
        <v>105</v>
      </c>
      <c r="M84" s="3" t="s">
        <v>84</v>
      </c>
      <c r="N84" s="3" t="s">
        <v>105</v>
      </c>
      <c r="O84" s="3" t="s">
        <v>643</v>
      </c>
      <c r="P84" s="3"/>
      <c r="Q84" s="3"/>
      <c r="R84" s="3" t="s">
        <v>1184</v>
      </c>
      <c r="S84" s="3" t="s">
        <v>1185</v>
      </c>
      <c r="T84" s="3" t="s">
        <v>1186</v>
      </c>
      <c r="U84" s="3" t="s">
        <v>84</v>
      </c>
      <c r="V84" s="3" t="s">
        <v>85</v>
      </c>
      <c r="W84" s="3" t="s">
        <v>1187</v>
      </c>
      <c r="X84" s="3" t="s">
        <v>1188</v>
      </c>
      <c r="Y84" s="3" t="s">
        <v>1189</v>
      </c>
      <c r="Z84" s="3" t="s">
        <v>1190</v>
      </c>
      <c r="AA84" s="3" t="s">
        <v>266</v>
      </c>
      <c r="AB84" s="3" t="s">
        <v>114</v>
      </c>
      <c r="AC84" s="3" t="s">
        <v>114</v>
      </c>
      <c r="AD84" s="3" t="s">
        <v>173</v>
      </c>
      <c r="AE84" s="3" t="s">
        <v>1191</v>
      </c>
      <c r="AF84" s="3" t="s">
        <v>540</v>
      </c>
      <c r="AG84" s="3" t="s">
        <v>116</v>
      </c>
      <c r="AH84" s="3" t="str">
        <f>IF(AND(E84&lt;&gt;"",D84&lt;&gt;""),"COVERED","MISSING")</f>
        <v>COVERED</v>
      </c>
    </row>
    <row r="85" spans="1:34">
      <c r="A85" s="3" t="s">
        <v>531</v>
      </c>
      <c r="B85" s="3" t="s">
        <v>1192</v>
      </c>
      <c r="C85" s="3" t="s">
        <v>1193</v>
      </c>
      <c r="D85" s="3" t="s">
        <v>119</v>
      </c>
      <c r="E85" s="3" t="s">
        <v>120</v>
      </c>
      <c r="F85" s="3" t="s">
        <v>1194</v>
      </c>
      <c r="G85" s="3" t="s">
        <v>1195</v>
      </c>
      <c r="H85" s="3" t="s">
        <v>208</v>
      </c>
      <c r="I85" s="3" t="s">
        <v>1117</v>
      </c>
      <c r="J85" s="3" t="s">
        <v>1118</v>
      </c>
      <c r="K85" s="3" t="s">
        <v>1104</v>
      </c>
      <c r="L85" s="3" t="s">
        <v>105</v>
      </c>
      <c r="M85" s="3" t="s">
        <v>212</v>
      </c>
      <c r="N85" s="3" t="s">
        <v>105</v>
      </c>
      <c r="O85" s="3" t="s">
        <v>213</v>
      </c>
      <c r="P85" s="3"/>
      <c r="Q85" s="3"/>
      <c r="R85" s="3" t="s">
        <v>1196</v>
      </c>
      <c r="S85" s="3" t="s">
        <v>1197</v>
      </c>
      <c r="T85" s="3" t="s">
        <v>1198</v>
      </c>
      <c r="U85" s="3" t="s">
        <v>84</v>
      </c>
      <c r="V85" s="3" t="s">
        <v>218</v>
      </c>
      <c r="W85" s="3" t="s">
        <v>1199</v>
      </c>
      <c r="X85" s="3" t="s">
        <v>1200</v>
      </c>
      <c r="Y85" s="3" t="s">
        <v>1201</v>
      </c>
      <c r="Z85" s="3" t="s">
        <v>1202</v>
      </c>
      <c r="AA85" s="3" t="s">
        <v>266</v>
      </c>
      <c r="AB85" s="3" t="s">
        <v>114</v>
      </c>
      <c r="AC85" s="3" t="s">
        <v>114</v>
      </c>
      <c r="AD85" s="3" t="s">
        <v>173</v>
      </c>
      <c r="AE85" s="3" t="s">
        <v>1127</v>
      </c>
      <c r="AF85" s="3" t="s">
        <v>1086</v>
      </c>
      <c r="AG85" s="3" t="s">
        <v>116</v>
      </c>
      <c r="AH85" s="3" t="str">
        <f>IF(AND(E85&lt;&gt;"",D85&lt;&gt;""),"COVERED","MISSING")</f>
        <v>COVERED</v>
      </c>
    </row>
    <row r="86" spans="1:34">
      <c r="A86" s="3" t="s">
        <v>531</v>
      </c>
      <c r="B86" s="3" t="s">
        <v>1203</v>
      </c>
      <c r="C86" s="3" t="s">
        <v>1204</v>
      </c>
      <c r="D86" s="3" t="s">
        <v>119</v>
      </c>
      <c r="E86" s="3" t="s">
        <v>120</v>
      </c>
      <c r="F86" s="3" t="s">
        <v>1205</v>
      </c>
      <c r="G86" s="3" t="s">
        <v>1206</v>
      </c>
      <c r="H86" s="3" t="s">
        <v>1064</v>
      </c>
      <c r="I86" s="3" t="s">
        <v>1065</v>
      </c>
      <c r="J86" s="3" t="s">
        <v>642</v>
      </c>
      <c r="K86" s="3" t="s">
        <v>1104</v>
      </c>
      <c r="L86" s="3" t="s">
        <v>105</v>
      </c>
      <c r="M86" s="3" t="s">
        <v>84</v>
      </c>
      <c r="N86" s="3" t="s">
        <v>258</v>
      </c>
      <c r="O86" s="3" t="s">
        <v>643</v>
      </c>
      <c r="P86" s="3"/>
      <c r="Q86" s="3"/>
      <c r="R86" s="3" t="s">
        <v>1079</v>
      </c>
      <c r="S86" s="3" t="s">
        <v>1207</v>
      </c>
      <c r="T86" s="3" t="s">
        <v>1208</v>
      </c>
      <c r="U86" s="3" t="s">
        <v>84</v>
      </c>
      <c r="V86" s="3" t="s">
        <v>85</v>
      </c>
      <c r="W86" s="3" t="s">
        <v>1209</v>
      </c>
      <c r="X86" s="3" t="s">
        <v>1210</v>
      </c>
      <c r="Y86" s="3" t="s">
        <v>1211</v>
      </c>
      <c r="Z86" s="3" t="s">
        <v>1212</v>
      </c>
      <c r="AA86" s="3" t="s">
        <v>85</v>
      </c>
      <c r="AB86" s="3" t="s">
        <v>267</v>
      </c>
      <c r="AC86" s="3" t="s">
        <v>114</v>
      </c>
      <c r="AD86" s="3" t="s">
        <v>173</v>
      </c>
      <c r="AE86" s="3" t="s">
        <v>539</v>
      </c>
      <c r="AF86" s="3" t="s">
        <v>1213</v>
      </c>
      <c r="AG86" s="3" t="s">
        <v>116</v>
      </c>
      <c r="AH86" s="3" t="str">
        <f>IF(AND(E86&lt;&gt;"",D86&lt;&gt;""),"COVERED","MISSING")</f>
        <v>COVERED</v>
      </c>
    </row>
    <row r="87" spans="1:34">
      <c r="A87" s="3" t="s">
        <v>531</v>
      </c>
      <c r="B87" s="3" t="s">
        <v>1214</v>
      </c>
      <c r="C87" s="3" t="s">
        <v>1215</v>
      </c>
      <c r="D87" s="3" t="s">
        <v>119</v>
      </c>
      <c r="E87" s="3" t="s">
        <v>120</v>
      </c>
      <c r="F87" s="3" t="s">
        <v>1216</v>
      </c>
      <c r="G87" s="3" t="s">
        <v>1217</v>
      </c>
      <c r="H87" s="3" t="s">
        <v>528</v>
      </c>
      <c r="I87" s="3" t="s">
        <v>733</v>
      </c>
      <c r="J87" s="3" t="s">
        <v>1218</v>
      </c>
      <c r="K87" s="3" t="s">
        <v>1171</v>
      </c>
      <c r="L87" s="3" t="s">
        <v>258</v>
      </c>
      <c r="M87" s="3" t="s">
        <v>80</v>
      </c>
      <c r="N87" s="3" t="s">
        <v>105</v>
      </c>
      <c r="O87" s="3" t="s">
        <v>106</v>
      </c>
      <c r="P87" s="3"/>
      <c r="Q87" s="3"/>
      <c r="R87" s="3" t="s">
        <v>1219</v>
      </c>
      <c r="S87" s="3" t="s">
        <v>1220</v>
      </c>
      <c r="T87" s="3" t="s">
        <v>1221</v>
      </c>
      <c r="U87" s="3" t="s">
        <v>84</v>
      </c>
      <c r="V87" s="3" t="s">
        <v>85</v>
      </c>
      <c r="W87" s="3" t="s">
        <v>1222</v>
      </c>
      <c r="X87" s="3" t="s">
        <v>1223</v>
      </c>
      <c r="Y87" s="3" t="s">
        <v>1224</v>
      </c>
      <c r="Z87" s="3" t="s">
        <v>1225</v>
      </c>
      <c r="AA87" s="3" t="s">
        <v>85</v>
      </c>
      <c r="AB87" s="3" t="s">
        <v>114</v>
      </c>
      <c r="AC87" s="3" t="s">
        <v>267</v>
      </c>
      <c r="AD87" s="3" t="s">
        <v>173</v>
      </c>
      <c r="AE87" s="3" t="s">
        <v>1099</v>
      </c>
      <c r="AF87" s="3" t="s">
        <v>539</v>
      </c>
      <c r="AG87" s="3" t="s">
        <v>116</v>
      </c>
      <c r="AH87" s="3" t="str">
        <f>IF(AND(E87&lt;&gt;"",D87&lt;&gt;""),"COVERED","MISSING")</f>
        <v>COVERED</v>
      </c>
    </row>
    <row r="88" spans="1:34">
      <c r="A88" s="3" t="s">
        <v>531</v>
      </c>
      <c r="B88" s="3" t="s">
        <v>1226</v>
      </c>
      <c r="C88" s="3" t="s">
        <v>1227</v>
      </c>
      <c r="D88" s="3" t="s">
        <v>119</v>
      </c>
      <c r="E88" s="3" t="s">
        <v>120</v>
      </c>
      <c r="F88" s="3" t="s">
        <v>1228</v>
      </c>
      <c r="G88" s="3" t="s">
        <v>1229</v>
      </c>
      <c r="H88" s="3" t="s">
        <v>1230</v>
      </c>
      <c r="I88" s="3" t="s">
        <v>1065</v>
      </c>
      <c r="J88" s="3" t="s">
        <v>642</v>
      </c>
      <c r="K88" s="3" t="s">
        <v>1104</v>
      </c>
      <c r="L88" s="3" t="s">
        <v>105</v>
      </c>
      <c r="M88" s="3" t="s">
        <v>84</v>
      </c>
      <c r="N88" s="3" t="s">
        <v>258</v>
      </c>
      <c r="O88" s="3" t="s">
        <v>643</v>
      </c>
      <c r="P88" s="3"/>
      <c r="Q88" s="3"/>
      <c r="R88" s="3" t="s">
        <v>1231</v>
      </c>
      <c r="S88" s="3" t="s">
        <v>1232</v>
      </c>
      <c r="T88" s="3" t="s">
        <v>1233</v>
      </c>
      <c r="U88" s="3" t="s">
        <v>84</v>
      </c>
      <c r="V88" s="3" t="s">
        <v>85</v>
      </c>
      <c r="W88" s="3" t="s">
        <v>1234</v>
      </c>
      <c r="X88" s="3" t="s">
        <v>1235</v>
      </c>
      <c r="Y88" s="3" t="s">
        <v>1236</v>
      </c>
      <c r="Z88" s="3" t="s">
        <v>1237</v>
      </c>
      <c r="AA88" s="3" t="s">
        <v>266</v>
      </c>
      <c r="AB88" s="3" t="s">
        <v>267</v>
      </c>
      <c r="AC88" s="3" t="s">
        <v>114</v>
      </c>
      <c r="AD88" s="3" t="s">
        <v>173</v>
      </c>
      <c r="AE88" s="3" t="s">
        <v>540</v>
      </c>
      <c r="AF88" s="3" t="s">
        <v>1238</v>
      </c>
      <c r="AG88" s="3" t="s">
        <v>116</v>
      </c>
      <c r="AH88" s="3" t="str">
        <f>IF(AND(E88&lt;&gt;"",D88&lt;&gt;""),"COVERED","MISSING")</f>
        <v>COVERED</v>
      </c>
    </row>
    <row r="89" spans="1:34">
      <c r="A89" s="3" t="s">
        <v>531</v>
      </c>
      <c r="B89" s="3" t="s">
        <v>1239</v>
      </c>
      <c r="C89" s="3" t="s">
        <v>1240</v>
      </c>
      <c r="D89" s="3" t="s">
        <v>119</v>
      </c>
      <c r="E89" s="3" t="s">
        <v>120</v>
      </c>
      <c r="F89" s="3" t="s">
        <v>1241</v>
      </c>
      <c r="G89" s="3" t="s">
        <v>1217</v>
      </c>
      <c r="H89" s="3" t="s">
        <v>528</v>
      </c>
      <c r="I89" s="3" t="s">
        <v>733</v>
      </c>
      <c r="J89" s="3" t="s">
        <v>1218</v>
      </c>
      <c r="K89" s="3" t="s">
        <v>1171</v>
      </c>
      <c r="L89" s="3" t="s">
        <v>258</v>
      </c>
      <c r="M89" s="3" t="s">
        <v>80</v>
      </c>
      <c r="N89" s="3" t="s">
        <v>105</v>
      </c>
      <c r="O89" s="3" t="s">
        <v>106</v>
      </c>
      <c r="P89" s="3"/>
      <c r="Q89" s="3"/>
      <c r="R89" s="3" t="s">
        <v>1242</v>
      </c>
      <c r="S89" s="3" t="s">
        <v>1243</v>
      </c>
      <c r="T89" s="3" t="s">
        <v>1244</v>
      </c>
      <c r="U89" s="3" t="s">
        <v>84</v>
      </c>
      <c r="V89" s="3" t="s">
        <v>85</v>
      </c>
      <c r="W89" s="3" t="s">
        <v>1245</v>
      </c>
      <c r="X89" s="3" t="s">
        <v>1246</v>
      </c>
      <c r="Y89" s="3" t="s">
        <v>1224</v>
      </c>
      <c r="Z89" s="3" t="s">
        <v>1247</v>
      </c>
      <c r="AA89" s="3" t="s">
        <v>266</v>
      </c>
      <c r="AB89" s="3" t="s">
        <v>114</v>
      </c>
      <c r="AC89" s="3" t="s">
        <v>267</v>
      </c>
      <c r="AD89" s="3" t="s">
        <v>173</v>
      </c>
      <c r="AE89" s="3" t="s">
        <v>1099</v>
      </c>
      <c r="AF89" s="3" t="s">
        <v>539</v>
      </c>
      <c r="AG89" s="3" t="s">
        <v>116</v>
      </c>
      <c r="AH89" s="3" t="str">
        <f>IF(AND(E89&lt;&gt;"",D89&lt;&gt;""),"COVERED","MISSING")</f>
        <v>COVERED</v>
      </c>
    </row>
    <row r="90" spans="1:34">
      <c r="A90" s="3" t="s">
        <v>531</v>
      </c>
      <c r="B90" s="3" t="s">
        <v>1248</v>
      </c>
      <c r="C90" s="3" t="s">
        <v>1249</v>
      </c>
      <c r="D90" s="3" t="s">
        <v>119</v>
      </c>
      <c r="E90" s="3" t="s">
        <v>120</v>
      </c>
      <c r="F90" s="3" t="s">
        <v>1250</v>
      </c>
      <c r="G90" s="3" t="s">
        <v>1251</v>
      </c>
      <c r="H90" s="3" t="s">
        <v>1064</v>
      </c>
      <c r="I90" s="3" t="s">
        <v>641</v>
      </c>
      <c r="J90" s="3" t="s">
        <v>1252</v>
      </c>
      <c r="K90" s="3" t="s">
        <v>1159</v>
      </c>
      <c r="L90" s="3" t="s">
        <v>105</v>
      </c>
      <c r="M90" s="3" t="s">
        <v>212</v>
      </c>
      <c r="N90" s="3" t="s">
        <v>258</v>
      </c>
      <c r="O90" s="3" t="s">
        <v>643</v>
      </c>
      <c r="P90" s="3"/>
      <c r="Q90" s="3"/>
      <c r="R90" s="3" t="s">
        <v>1253</v>
      </c>
      <c r="S90" s="3" t="s">
        <v>1254</v>
      </c>
      <c r="T90" s="3" t="s">
        <v>1255</v>
      </c>
      <c r="U90" s="3" t="s">
        <v>84</v>
      </c>
      <c r="V90" s="3" t="s">
        <v>218</v>
      </c>
      <c r="W90" s="3" t="s">
        <v>1256</v>
      </c>
      <c r="X90" s="3" t="s">
        <v>1257</v>
      </c>
      <c r="Y90" s="3" t="s">
        <v>1258</v>
      </c>
      <c r="Z90" s="3" t="s">
        <v>1259</v>
      </c>
      <c r="AA90" s="3" t="s">
        <v>266</v>
      </c>
      <c r="AB90" s="3" t="s">
        <v>267</v>
      </c>
      <c r="AC90" s="3" t="s">
        <v>114</v>
      </c>
      <c r="AD90" s="3" t="s">
        <v>173</v>
      </c>
      <c r="AE90" s="3" t="s">
        <v>1074</v>
      </c>
      <c r="AF90" s="3" t="s">
        <v>1260</v>
      </c>
      <c r="AG90" s="3" t="s">
        <v>116</v>
      </c>
      <c r="AH90" s="3" t="str">
        <f>IF(AND(E90&lt;&gt;"",D90&lt;&gt;""),"COVERED","MISSING")</f>
        <v>COVERED</v>
      </c>
    </row>
    <row r="91" spans="1:34">
      <c r="A91" s="3" t="s">
        <v>531</v>
      </c>
      <c r="B91" s="3" t="s">
        <v>1261</v>
      </c>
      <c r="C91" s="3" t="s">
        <v>1262</v>
      </c>
      <c r="D91" s="3" t="s">
        <v>119</v>
      </c>
      <c r="E91" s="3" t="s">
        <v>120</v>
      </c>
      <c r="F91" s="3" t="s">
        <v>1263</v>
      </c>
      <c r="G91" s="3" t="s">
        <v>1264</v>
      </c>
      <c r="H91" s="3" t="s">
        <v>1064</v>
      </c>
      <c r="I91" s="3" t="s">
        <v>641</v>
      </c>
      <c r="J91" s="3" t="s">
        <v>1252</v>
      </c>
      <c r="K91" s="3" t="s">
        <v>1159</v>
      </c>
      <c r="L91" s="3" t="s">
        <v>105</v>
      </c>
      <c r="M91" s="3" t="s">
        <v>212</v>
      </c>
      <c r="N91" s="3" t="s">
        <v>258</v>
      </c>
      <c r="O91" s="3" t="s">
        <v>643</v>
      </c>
      <c r="P91" s="3"/>
      <c r="Q91" s="3"/>
      <c r="R91" s="3" t="s">
        <v>1265</v>
      </c>
      <c r="S91" s="3" t="s">
        <v>1266</v>
      </c>
      <c r="T91" s="3" t="s">
        <v>1267</v>
      </c>
      <c r="U91" s="3" t="s">
        <v>473</v>
      </c>
      <c r="V91" s="3" t="s">
        <v>218</v>
      </c>
      <c r="W91" s="3" t="s">
        <v>1268</v>
      </c>
      <c r="X91" s="3" t="s">
        <v>1269</v>
      </c>
      <c r="Y91" s="3" t="s">
        <v>1270</v>
      </c>
      <c r="Z91" s="3" t="s">
        <v>1271</v>
      </c>
      <c r="AA91" s="3" t="s">
        <v>85</v>
      </c>
      <c r="AB91" s="3" t="s">
        <v>267</v>
      </c>
      <c r="AC91" s="3" t="s">
        <v>114</v>
      </c>
      <c r="AD91" s="3" t="s">
        <v>173</v>
      </c>
      <c r="AE91" s="3" t="s">
        <v>1074</v>
      </c>
      <c r="AF91" s="3" t="s">
        <v>1260</v>
      </c>
      <c r="AG91" s="3" t="s">
        <v>116</v>
      </c>
      <c r="AH91" s="3" t="str">
        <f>IF(AND(E91&lt;&gt;"",D91&lt;&gt;""),"COVERED","MISSING")</f>
        <v>COVERED</v>
      </c>
    </row>
    <row r="92" spans="1:34">
      <c r="A92" s="3" t="s">
        <v>531</v>
      </c>
      <c r="B92" s="3" t="s">
        <v>1272</v>
      </c>
      <c r="C92" s="3" t="s">
        <v>1273</v>
      </c>
      <c r="D92" s="3" t="s">
        <v>119</v>
      </c>
      <c r="E92" s="3" t="s">
        <v>120</v>
      </c>
      <c r="F92" s="3" t="s">
        <v>1274</v>
      </c>
      <c r="G92" s="3" t="s">
        <v>1116</v>
      </c>
      <c r="H92" s="3" t="s">
        <v>962</v>
      </c>
      <c r="I92" s="3" t="s">
        <v>1117</v>
      </c>
      <c r="J92" s="3" t="s">
        <v>1118</v>
      </c>
      <c r="K92" s="3" t="s">
        <v>1171</v>
      </c>
      <c r="L92" s="3" t="s">
        <v>258</v>
      </c>
      <c r="M92" s="3" t="s">
        <v>80</v>
      </c>
      <c r="N92" s="3" t="s">
        <v>258</v>
      </c>
      <c r="O92" s="3" t="s">
        <v>213</v>
      </c>
      <c r="P92" s="3"/>
      <c r="Q92" s="3"/>
      <c r="R92" s="3" t="s">
        <v>1275</v>
      </c>
      <c r="S92" s="3" t="s">
        <v>1276</v>
      </c>
      <c r="T92" s="3" t="s">
        <v>1277</v>
      </c>
      <c r="U92" s="3" t="s">
        <v>84</v>
      </c>
      <c r="V92" s="3" t="s">
        <v>85</v>
      </c>
      <c r="W92" s="3" t="s">
        <v>1123</v>
      </c>
      <c r="X92" s="3" t="s">
        <v>1278</v>
      </c>
      <c r="Y92" s="3" t="s">
        <v>1279</v>
      </c>
      <c r="Z92" s="3" t="s">
        <v>1280</v>
      </c>
      <c r="AA92" s="3" t="s">
        <v>85</v>
      </c>
      <c r="AB92" s="3" t="s">
        <v>267</v>
      </c>
      <c r="AC92" s="3" t="s">
        <v>267</v>
      </c>
      <c r="AD92" s="3" t="s">
        <v>173</v>
      </c>
      <c r="AE92" s="3" t="s">
        <v>539</v>
      </c>
      <c r="AF92" s="3" t="s">
        <v>1281</v>
      </c>
      <c r="AG92" s="3" t="s">
        <v>116</v>
      </c>
      <c r="AH92" s="3" t="str">
        <f>IF(AND(E92&lt;&gt;"",D92&lt;&gt;""),"COVERED","MISSING")</f>
        <v>COVERED</v>
      </c>
    </row>
    <row r="93" spans="1:34">
      <c r="A93" s="3" t="s">
        <v>531</v>
      </c>
      <c r="B93" s="3" t="s">
        <v>1282</v>
      </c>
      <c r="C93" s="3" t="s">
        <v>1283</v>
      </c>
      <c r="D93" s="3" t="s">
        <v>119</v>
      </c>
      <c r="E93" s="3" t="s">
        <v>120</v>
      </c>
      <c r="F93" s="3" t="s">
        <v>1284</v>
      </c>
      <c r="G93" s="3" t="s">
        <v>1285</v>
      </c>
      <c r="H93" s="3" t="s">
        <v>689</v>
      </c>
      <c r="I93" s="3" t="s">
        <v>1286</v>
      </c>
      <c r="J93" s="3" t="s">
        <v>1287</v>
      </c>
      <c r="K93" s="3" t="s">
        <v>1288</v>
      </c>
      <c r="L93" s="3" t="s">
        <v>258</v>
      </c>
      <c r="M93" s="3" t="s">
        <v>80</v>
      </c>
      <c r="N93" s="3" t="s">
        <v>258</v>
      </c>
      <c r="O93" s="3" t="s">
        <v>106</v>
      </c>
      <c r="P93" s="3"/>
      <c r="Q93" s="3"/>
      <c r="R93" s="3" t="s">
        <v>1289</v>
      </c>
      <c r="S93" s="3" t="s">
        <v>1290</v>
      </c>
      <c r="T93" s="3" t="s">
        <v>1291</v>
      </c>
      <c r="U93" s="3" t="s">
        <v>84</v>
      </c>
      <c r="V93" s="3" t="s">
        <v>85</v>
      </c>
      <c r="W93" s="3" t="s">
        <v>693</v>
      </c>
      <c r="X93" s="3" t="s">
        <v>1292</v>
      </c>
      <c r="Y93" s="3" t="s">
        <v>1293</v>
      </c>
      <c r="Z93" s="3" t="s">
        <v>1294</v>
      </c>
      <c r="AA93" s="3" t="s">
        <v>266</v>
      </c>
      <c r="AB93" s="3" t="s">
        <v>267</v>
      </c>
      <c r="AC93" s="3" t="s">
        <v>267</v>
      </c>
      <c r="AD93" s="3" t="s">
        <v>236</v>
      </c>
      <c r="AE93" s="3" t="s">
        <v>1179</v>
      </c>
      <c r="AF93" s="3" t="s">
        <v>1086</v>
      </c>
      <c r="AG93" s="3" t="s">
        <v>116</v>
      </c>
      <c r="AH93" s="3" t="str">
        <f>IF(AND(E93&lt;&gt;"",D93&lt;&gt;""),"COVERED","MISSING")</f>
        <v>COVERED</v>
      </c>
    </row>
    <row r="94" spans="1:34">
      <c r="A94" s="3" t="s">
        <v>531</v>
      </c>
      <c r="B94" s="3" t="s">
        <v>1295</v>
      </c>
      <c r="C94" s="3" t="s">
        <v>1296</v>
      </c>
      <c r="D94" s="3" t="s">
        <v>119</v>
      </c>
      <c r="E94" s="3" t="s">
        <v>120</v>
      </c>
      <c r="F94" s="3" t="s">
        <v>1297</v>
      </c>
      <c r="G94" s="3" t="s">
        <v>1298</v>
      </c>
      <c r="H94" s="3" t="s">
        <v>444</v>
      </c>
      <c r="I94" s="3" t="s">
        <v>1065</v>
      </c>
      <c r="J94" s="3" t="s">
        <v>1299</v>
      </c>
      <c r="K94" s="3" t="s">
        <v>1300</v>
      </c>
      <c r="L94" s="3" t="s">
        <v>354</v>
      </c>
      <c r="M94" s="3" t="s">
        <v>80</v>
      </c>
      <c r="N94" s="3" t="s">
        <v>354</v>
      </c>
      <c r="O94" s="3" t="s">
        <v>643</v>
      </c>
      <c r="P94" s="3"/>
      <c r="Q94" s="3"/>
      <c r="R94" s="3" t="s">
        <v>1301</v>
      </c>
      <c r="S94" s="3" t="s">
        <v>1302</v>
      </c>
      <c r="T94" s="3" t="s">
        <v>1303</v>
      </c>
      <c r="U94" s="3" t="s">
        <v>84</v>
      </c>
      <c r="V94" s="3" t="s">
        <v>85</v>
      </c>
      <c r="W94" s="3" t="s">
        <v>1304</v>
      </c>
      <c r="X94" s="3" t="s">
        <v>1305</v>
      </c>
      <c r="Y94" s="3" t="s">
        <v>1306</v>
      </c>
      <c r="Z94" s="3" t="s">
        <v>1307</v>
      </c>
      <c r="AA94" s="3" t="s">
        <v>406</v>
      </c>
      <c r="AB94" s="3" t="s">
        <v>923</v>
      </c>
      <c r="AC94" s="3" t="s">
        <v>923</v>
      </c>
      <c r="AD94" s="3" t="s">
        <v>457</v>
      </c>
      <c r="AE94" s="3" t="s">
        <v>1086</v>
      </c>
      <c r="AF94" s="3" t="s">
        <v>540</v>
      </c>
      <c r="AG94" s="3" t="s">
        <v>116</v>
      </c>
      <c r="AH94" s="3" t="str">
        <f>IF(AND(E94&lt;&gt;"",D94&lt;&gt;""),"COVERED","MISSING")</f>
        <v>COVERED</v>
      </c>
    </row>
    <row r="95" spans="1:34">
      <c r="A95" s="3" t="s">
        <v>531</v>
      </c>
      <c r="B95" s="3" t="s">
        <v>1308</v>
      </c>
      <c r="C95" s="3" t="s">
        <v>1309</v>
      </c>
      <c r="D95" s="3" t="s">
        <v>119</v>
      </c>
      <c r="E95" s="3" t="s">
        <v>120</v>
      </c>
      <c r="F95" s="3" t="s">
        <v>1310</v>
      </c>
      <c r="G95" s="3" t="s">
        <v>1285</v>
      </c>
      <c r="H95" s="3" t="s">
        <v>689</v>
      </c>
      <c r="I95" s="3" t="s">
        <v>1286</v>
      </c>
      <c r="J95" s="3" t="s">
        <v>1287</v>
      </c>
      <c r="K95" s="3" t="s">
        <v>1300</v>
      </c>
      <c r="L95" s="3" t="s">
        <v>354</v>
      </c>
      <c r="M95" s="3" t="s">
        <v>80</v>
      </c>
      <c r="N95" s="3" t="s">
        <v>354</v>
      </c>
      <c r="O95" s="3" t="s">
        <v>106</v>
      </c>
      <c r="P95" s="3"/>
      <c r="Q95" s="3"/>
      <c r="R95" s="3" t="s">
        <v>1311</v>
      </c>
      <c r="S95" s="3" t="s">
        <v>1312</v>
      </c>
      <c r="T95" s="3" t="s">
        <v>1313</v>
      </c>
      <c r="U95" s="3" t="s">
        <v>1314</v>
      </c>
      <c r="V95" s="3" t="s">
        <v>85</v>
      </c>
      <c r="W95" s="3" t="s">
        <v>1315</v>
      </c>
      <c r="X95" s="3" t="s">
        <v>1316</v>
      </c>
      <c r="Y95" s="3" t="s">
        <v>1317</v>
      </c>
      <c r="Z95" s="3" t="s">
        <v>1318</v>
      </c>
      <c r="AA95" s="3" t="s">
        <v>218</v>
      </c>
      <c r="AB95" s="3" t="s">
        <v>923</v>
      </c>
      <c r="AC95" s="3" t="s">
        <v>923</v>
      </c>
      <c r="AD95" s="3" t="s">
        <v>457</v>
      </c>
      <c r="AE95" s="3" t="s">
        <v>1179</v>
      </c>
      <c r="AF95" s="3" t="s">
        <v>1086</v>
      </c>
      <c r="AG95" s="3" t="s">
        <v>116</v>
      </c>
      <c r="AH95" s="3" t="str">
        <f>IF(AND(E95&lt;&gt;"",D95&lt;&gt;""),"COVERED","MISSING")</f>
        <v>COVERED</v>
      </c>
    </row>
    <row r="96" spans="1:34">
      <c r="A96" s="3" t="s">
        <v>531</v>
      </c>
      <c r="B96" s="3" t="s">
        <v>1319</v>
      </c>
      <c r="C96" s="3" t="s">
        <v>1320</v>
      </c>
      <c r="D96" s="3" t="s">
        <v>119</v>
      </c>
      <c r="E96" s="3" t="s">
        <v>120</v>
      </c>
      <c r="F96" s="3" t="s">
        <v>1321</v>
      </c>
      <c r="G96" s="3" t="s">
        <v>1322</v>
      </c>
      <c r="H96" s="3" t="s">
        <v>444</v>
      </c>
      <c r="I96" s="3" t="s">
        <v>209</v>
      </c>
      <c r="J96" s="3" t="s">
        <v>1287</v>
      </c>
      <c r="K96" s="3" t="s">
        <v>1300</v>
      </c>
      <c r="L96" s="3" t="s">
        <v>354</v>
      </c>
      <c r="M96" s="3" t="s">
        <v>80</v>
      </c>
      <c r="N96" s="3" t="s">
        <v>354</v>
      </c>
      <c r="O96" s="3" t="s">
        <v>213</v>
      </c>
      <c r="P96" s="3"/>
      <c r="Q96" s="3"/>
      <c r="R96" s="3" t="s">
        <v>1323</v>
      </c>
      <c r="S96" s="3" t="s">
        <v>1324</v>
      </c>
      <c r="T96" s="3" t="s">
        <v>1325</v>
      </c>
      <c r="U96" s="3" t="s">
        <v>1314</v>
      </c>
      <c r="V96" s="3" t="s">
        <v>85</v>
      </c>
      <c r="W96" s="3" t="s">
        <v>1326</v>
      </c>
      <c r="X96" s="3" t="s">
        <v>1327</v>
      </c>
      <c r="Y96" s="3" t="s">
        <v>1328</v>
      </c>
      <c r="Z96" s="3" t="s">
        <v>1329</v>
      </c>
      <c r="AA96" s="3" t="s">
        <v>218</v>
      </c>
      <c r="AB96" s="3" t="s">
        <v>923</v>
      </c>
      <c r="AC96" s="3" t="s">
        <v>923</v>
      </c>
      <c r="AD96" s="3" t="s">
        <v>457</v>
      </c>
      <c r="AE96" s="3" t="s">
        <v>1179</v>
      </c>
      <c r="AF96" s="3" t="s">
        <v>539</v>
      </c>
      <c r="AG96" s="3" t="s">
        <v>116</v>
      </c>
      <c r="AH96" s="3" t="str">
        <f>IF(AND(E96&lt;&gt;"",D96&lt;&gt;""),"COVERED","MISSING")</f>
        <v>COVERED</v>
      </c>
    </row>
    <row r="97" spans="1:34">
      <c r="A97" s="3" t="s">
        <v>531</v>
      </c>
      <c r="B97" s="3" t="s">
        <v>1330</v>
      </c>
      <c r="C97" s="3" t="s">
        <v>1331</v>
      </c>
      <c r="D97" s="3" t="s">
        <v>410</v>
      </c>
      <c r="E97" s="3" t="s">
        <v>411</v>
      </c>
      <c r="F97" s="3" t="s">
        <v>1332</v>
      </c>
      <c r="G97" s="3" t="s">
        <v>1333</v>
      </c>
      <c r="H97" s="3" t="s">
        <v>528</v>
      </c>
      <c r="I97" s="3" t="s">
        <v>733</v>
      </c>
      <c r="J97" s="3" t="s">
        <v>866</v>
      </c>
      <c r="K97" s="3" t="s">
        <v>1334</v>
      </c>
      <c r="L97" s="3"/>
      <c r="M97" s="3" t="s">
        <v>80</v>
      </c>
      <c r="N97" s="3"/>
      <c r="O97" s="3"/>
      <c r="P97" s="3"/>
      <c r="Q97" s="3" t="s">
        <v>1335</v>
      </c>
      <c r="R97" s="3" t="s">
        <v>1336</v>
      </c>
      <c r="S97" s="3" t="s">
        <v>1337</v>
      </c>
      <c r="T97" s="3" t="s">
        <v>1338</v>
      </c>
      <c r="U97" s="3" t="s">
        <v>84</v>
      </c>
      <c r="V97" s="3" t="s">
        <v>85</v>
      </c>
      <c r="W97" s="3" t="s">
        <v>1339</v>
      </c>
      <c r="X97" s="3" t="s">
        <v>1340</v>
      </c>
      <c r="Y97" s="3" t="s">
        <v>1341</v>
      </c>
      <c r="Z97" s="3" t="s">
        <v>1342</v>
      </c>
      <c r="AA97" s="3" t="s">
        <v>85</v>
      </c>
      <c r="AB97" s="3" t="s">
        <v>114</v>
      </c>
      <c r="AC97" s="3" t="s">
        <v>923</v>
      </c>
      <c r="AD97" s="3" t="s">
        <v>423</v>
      </c>
      <c r="AE97" s="3" t="s">
        <v>1048</v>
      </c>
      <c r="AF97" s="3" t="s">
        <v>1140</v>
      </c>
      <c r="AG97" s="3" t="s">
        <v>424</v>
      </c>
      <c r="AH97" s="3" t="str">
        <f>IF(AND(E97&lt;&gt;"",D97&lt;&gt;""),"COVERED","MISSING")</f>
        <v>COVERED</v>
      </c>
    </row>
    <row r="98" spans="1:34">
      <c r="A98" s="3" t="s">
        <v>531</v>
      </c>
      <c r="B98" s="3" t="s">
        <v>1343</v>
      </c>
      <c r="C98" s="3" t="s">
        <v>1344</v>
      </c>
      <c r="D98" s="3" t="s">
        <v>410</v>
      </c>
      <c r="E98" s="3" t="s">
        <v>411</v>
      </c>
      <c r="F98" s="3" t="s">
        <v>1345</v>
      </c>
      <c r="G98" s="3" t="s">
        <v>179</v>
      </c>
      <c r="H98" s="3" t="s">
        <v>162</v>
      </c>
      <c r="I98" s="3" t="s">
        <v>163</v>
      </c>
      <c r="J98" s="3" t="s">
        <v>1346</v>
      </c>
      <c r="K98" s="3" t="s">
        <v>1347</v>
      </c>
      <c r="L98" s="3"/>
      <c r="M98" s="3" t="s">
        <v>80</v>
      </c>
      <c r="N98" s="3"/>
      <c r="O98" s="3"/>
      <c r="P98" s="3"/>
      <c r="Q98" s="3" t="s">
        <v>1348</v>
      </c>
      <c r="R98" s="3" t="s">
        <v>1349</v>
      </c>
      <c r="S98" s="3" t="s">
        <v>1350</v>
      </c>
      <c r="T98" s="3" t="s">
        <v>1351</v>
      </c>
      <c r="U98" s="3" t="s">
        <v>231</v>
      </c>
      <c r="V98" s="3" t="s">
        <v>85</v>
      </c>
      <c r="W98" s="3" t="s">
        <v>1352</v>
      </c>
      <c r="X98" s="3" t="s">
        <v>1353</v>
      </c>
      <c r="Y98" s="3" t="s">
        <v>1354</v>
      </c>
      <c r="Z98" s="3" t="s">
        <v>1355</v>
      </c>
      <c r="AA98" s="3" t="s">
        <v>218</v>
      </c>
      <c r="AB98" s="3" t="s">
        <v>267</v>
      </c>
      <c r="AC98" s="3" t="s">
        <v>456</v>
      </c>
      <c r="AD98" s="3" t="s">
        <v>423</v>
      </c>
      <c r="AE98" s="3" t="s">
        <v>1179</v>
      </c>
      <c r="AF98" s="3" t="s">
        <v>1086</v>
      </c>
      <c r="AG98" s="3" t="s">
        <v>424</v>
      </c>
      <c r="AH98" s="3" t="str">
        <f>IF(AND(E98&lt;&gt;"",D98&lt;&gt;""),"COVERED","MISSING")</f>
        <v>COVERED</v>
      </c>
    </row>
    <row r="99" spans="1:34">
      <c r="A99" s="3" t="s">
        <v>531</v>
      </c>
      <c r="B99" s="3" t="s">
        <v>1356</v>
      </c>
      <c r="C99" s="3" t="s">
        <v>1357</v>
      </c>
      <c r="D99" s="3" t="s">
        <v>410</v>
      </c>
      <c r="E99" s="3" t="s">
        <v>411</v>
      </c>
      <c r="F99" s="3" t="s">
        <v>1358</v>
      </c>
      <c r="G99" s="3" t="s">
        <v>1038</v>
      </c>
      <c r="H99" s="3" t="s">
        <v>528</v>
      </c>
      <c r="I99" s="3" t="s">
        <v>733</v>
      </c>
      <c r="J99" s="3" t="s">
        <v>1359</v>
      </c>
      <c r="K99" s="3" t="s">
        <v>1360</v>
      </c>
      <c r="L99" s="3"/>
      <c r="M99" s="3" t="s">
        <v>80</v>
      </c>
      <c r="N99" s="3"/>
      <c r="O99" s="3"/>
      <c r="P99" s="3"/>
      <c r="Q99" s="3" t="s">
        <v>1335</v>
      </c>
      <c r="R99" s="3" t="s">
        <v>1336</v>
      </c>
      <c r="S99" s="3" t="s">
        <v>1361</v>
      </c>
      <c r="T99" s="3" t="s">
        <v>1362</v>
      </c>
      <c r="U99" s="3" t="s">
        <v>84</v>
      </c>
      <c r="V99" s="3" t="s">
        <v>85</v>
      </c>
      <c r="W99" s="3" t="s">
        <v>1363</v>
      </c>
      <c r="X99" s="3" t="s">
        <v>1364</v>
      </c>
      <c r="Y99" s="3" t="s">
        <v>1365</v>
      </c>
      <c r="Z99" s="3" t="s">
        <v>1366</v>
      </c>
      <c r="AA99" s="3" t="s">
        <v>218</v>
      </c>
      <c r="AB99" s="3" t="s">
        <v>267</v>
      </c>
      <c r="AC99" s="3" t="s">
        <v>923</v>
      </c>
      <c r="AD99" s="3" t="s">
        <v>423</v>
      </c>
      <c r="AE99" s="3" t="s">
        <v>1048</v>
      </c>
      <c r="AF99" s="3" t="s">
        <v>1140</v>
      </c>
      <c r="AG99" s="3" t="s">
        <v>424</v>
      </c>
      <c r="AH99" s="3" t="str">
        <f>IF(AND(E99&lt;&gt;"",D99&lt;&gt;""),"COVERED","MISSING")</f>
        <v>COVERED</v>
      </c>
    </row>
    <row r="100" spans="1:34">
      <c r="A100" s="3" t="s">
        <v>531</v>
      </c>
      <c r="B100" s="3" t="s">
        <v>1367</v>
      </c>
      <c r="C100" s="3" t="s">
        <v>1368</v>
      </c>
      <c r="D100" s="3" t="s">
        <v>410</v>
      </c>
      <c r="E100" s="3" t="s">
        <v>411</v>
      </c>
      <c r="F100" s="3" t="s">
        <v>1369</v>
      </c>
      <c r="G100" s="3" t="s">
        <v>1370</v>
      </c>
      <c r="H100" s="3" t="s">
        <v>76</v>
      </c>
      <c r="I100" s="3" t="s">
        <v>209</v>
      </c>
      <c r="J100" s="3" t="s">
        <v>1371</v>
      </c>
      <c r="K100" s="3" t="s">
        <v>1372</v>
      </c>
      <c r="L100" s="3"/>
      <c r="M100" s="3" t="s">
        <v>80</v>
      </c>
      <c r="N100" s="3"/>
      <c r="O100" s="3"/>
      <c r="P100" s="3"/>
      <c r="Q100" s="3" t="s">
        <v>1373</v>
      </c>
      <c r="R100" s="3" t="s">
        <v>1053</v>
      </c>
      <c r="S100" s="3" t="s">
        <v>1374</v>
      </c>
      <c r="T100" s="3" t="s">
        <v>1375</v>
      </c>
      <c r="U100" s="3" t="s">
        <v>84</v>
      </c>
      <c r="V100" s="3" t="s">
        <v>218</v>
      </c>
      <c r="W100" s="3" t="s">
        <v>1376</v>
      </c>
      <c r="X100" s="3" t="s">
        <v>1377</v>
      </c>
      <c r="Y100" s="3" t="s">
        <v>1378</v>
      </c>
      <c r="Z100" s="3" t="s">
        <v>1379</v>
      </c>
      <c r="AA100" s="3" t="s">
        <v>218</v>
      </c>
      <c r="AB100" s="3" t="s">
        <v>923</v>
      </c>
      <c r="AC100" s="3" t="s">
        <v>267</v>
      </c>
      <c r="AD100" s="3" t="s">
        <v>423</v>
      </c>
      <c r="AE100" s="3" t="s">
        <v>1086</v>
      </c>
      <c r="AF100" s="3" t="s">
        <v>540</v>
      </c>
      <c r="AG100" s="3" t="s">
        <v>424</v>
      </c>
      <c r="AH100" s="3" t="str">
        <f>IF(AND(E100&lt;&gt;"",D100&lt;&gt;""),"COVERED","MISSING")</f>
        <v>COVERED</v>
      </c>
    </row>
    <row r="101" spans="1:34">
      <c r="A101" s="3" t="s">
        <v>531</v>
      </c>
      <c r="B101" s="3" t="s">
        <v>1380</v>
      </c>
      <c r="C101" s="3" t="s">
        <v>1381</v>
      </c>
      <c r="D101" s="3" t="s">
        <v>410</v>
      </c>
      <c r="E101" s="3" t="s">
        <v>411</v>
      </c>
      <c r="F101" s="3" t="s">
        <v>1382</v>
      </c>
      <c r="G101" s="3" t="s">
        <v>1383</v>
      </c>
      <c r="H101" s="3" t="s">
        <v>465</v>
      </c>
      <c r="I101" s="3" t="s">
        <v>497</v>
      </c>
      <c r="J101" s="3" t="s">
        <v>467</v>
      </c>
      <c r="K101" s="3" t="s">
        <v>1384</v>
      </c>
      <c r="L101" s="3"/>
      <c r="M101" s="3" t="s">
        <v>80</v>
      </c>
      <c r="N101" s="3"/>
      <c r="O101" s="3"/>
      <c r="P101" s="3"/>
      <c r="Q101" s="3" t="s">
        <v>500</v>
      </c>
      <c r="R101" s="3" t="s">
        <v>1385</v>
      </c>
      <c r="S101" s="3" t="s">
        <v>1386</v>
      </c>
      <c r="T101" s="3" t="s">
        <v>1387</v>
      </c>
      <c r="U101" s="3" t="s">
        <v>1388</v>
      </c>
      <c r="V101" s="3" t="s">
        <v>85</v>
      </c>
      <c r="W101" s="3" t="s">
        <v>1389</v>
      </c>
      <c r="X101" s="3" t="s">
        <v>1390</v>
      </c>
      <c r="Y101" s="3" t="s">
        <v>1391</v>
      </c>
      <c r="Z101" s="3" t="s">
        <v>1392</v>
      </c>
      <c r="AA101" s="3" t="s">
        <v>85</v>
      </c>
      <c r="AB101" s="3" t="s">
        <v>90</v>
      </c>
      <c r="AC101" s="3" t="s">
        <v>456</v>
      </c>
      <c r="AD101" s="3" t="s">
        <v>423</v>
      </c>
      <c r="AE101" s="3" t="s">
        <v>1026</v>
      </c>
      <c r="AF101" s="3" t="s">
        <v>478</v>
      </c>
      <c r="AG101" s="3" t="s">
        <v>424</v>
      </c>
      <c r="AH101" s="3" t="str">
        <f>IF(AND(E101&lt;&gt;"",D101&lt;&gt;""),"COVERED","MISSING")</f>
        <v>COVERED</v>
      </c>
    </row>
    <row r="102" spans="1:34">
      <c r="A102" s="3" t="s">
        <v>531</v>
      </c>
      <c r="B102" s="3" t="s">
        <v>1393</v>
      </c>
      <c r="C102" s="3" t="s">
        <v>1394</v>
      </c>
      <c r="D102" s="3" t="s">
        <v>410</v>
      </c>
      <c r="E102" s="3" t="s">
        <v>411</v>
      </c>
      <c r="F102" s="3" t="s">
        <v>1395</v>
      </c>
      <c r="G102" s="3" t="s">
        <v>1396</v>
      </c>
      <c r="H102" s="3" t="s">
        <v>162</v>
      </c>
      <c r="I102" s="3" t="s">
        <v>497</v>
      </c>
      <c r="J102" s="3" t="s">
        <v>467</v>
      </c>
      <c r="K102" s="3" t="s">
        <v>1397</v>
      </c>
      <c r="L102" s="3"/>
      <c r="M102" s="3" t="s">
        <v>80</v>
      </c>
      <c r="N102" s="3"/>
      <c r="O102" s="3"/>
      <c r="P102" s="3"/>
      <c r="Q102" s="3" t="s">
        <v>1398</v>
      </c>
      <c r="R102" s="3" t="s">
        <v>1399</v>
      </c>
      <c r="S102" s="3" t="s">
        <v>1400</v>
      </c>
      <c r="T102" s="3" t="s">
        <v>1401</v>
      </c>
      <c r="U102" s="3" t="s">
        <v>84</v>
      </c>
      <c r="V102" s="3" t="s">
        <v>85</v>
      </c>
      <c r="W102" s="3" t="s">
        <v>1402</v>
      </c>
      <c r="X102" s="3" t="s">
        <v>1403</v>
      </c>
      <c r="Y102" s="3" t="s">
        <v>1404</v>
      </c>
      <c r="Z102" s="3" t="s">
        <v>1405</v>
      </c>
      <c r="AA102" s="3" t="s">
        <v>85</v>
      </c>
      <c r="AB102" s="3" t="s">
        <v>114</v>
      </c>
      <c r="AC102" s="3" t="s">
        <v>456</v>
      </c>
      <c r="AD102" s="3" t="s">
        <v>423</v>
      </c>
      <c r="AE102" s="3" t="s">
        <v>92</v>
      </c>
      <c r="AF102" s="3" t="s">
        <v>1406</v>
      </c>
      <c r="AG102" s="3" t="s">
        <v>424</v>
      </c>
      <c r="AH102" s="3" t="str">
        <f>IF(AND(E102&lt;&gt;"",D102&lt;&gt;""),"COVERED","MISSING")</f>
        <v>COVERED</v>
      </c>
    </row>
    <row r="103" spans="1:34">
      <c r="A103" s="3" t="s">
        <v>500</v>
      </c>
      <c r="B103" s="3" t="s">
        <v>1407</v>
      </c>
      <c r="C103" s="3" t="s">
        <v>1036</v>
      </c>
      <c r="D103" s="3" t="s">
        <v>119</v>
      </c>
      <c r="E103" s="3" t="s">
        <v>120</v>
      </c>
      <c r="F103" s="3" t="s">
        <v>1037</v>
      </c>
      <c r="G103" s="3" t="s">
        <v>1038</v>
      </c>
      <c r="H103" s="3" t="s">
        <v>528</v>
      </c>
      <c r="I103" s="3" t="s">
        <v>733</v>
      </c>
      <c r="J103" s="3" t="s">
        <v>1039</v>
      </c>
      <c r="K103" s="3" t="s">
        <v>1408</v>
      </c>
      <c r="L103" s="3" t="s">
        <v>104</v>
      </c>
      <c r="M103" s="3" t="s">
        <v>84</v>
      </c>
      <c r="N103" s="3" t="s">
        <v>104</v>
      </c>
      <c r="O103" s="3" t="s">
        <v>106</v>
      </c>
      <c r="P103" s="3"/>
      <c r="Q103" s="3"/>
      <c r="R103" s="3" t="s">
        <v>1409</v>
      </c>
      <c r="S103" s="3" t="s">
        <v>1410</v>
      </c>
      <c r="T103" s="3" t="s">
        <v>1411</v>
      </c>
      <c r="U103" s="3" t="s">
        <v>84</v>
      </c>
      <c r="V103" s="3" t="s">
        <v>85</v>
      </c>
      <c r="W103" s="3" t="s">
        <v>1044</v>
      </c>
      <c r="X103" s="3" t="s">
        <v>1412</v>
      </c>
      <c r="Y103" s="3" t="s">
        <v>1413</v>
      </c>
      <c r="Z103" s="3" t="s">
        <v>1414</v>
      </c>
      <c r="AA103" s="3" t="s">
        <v>85</v>
      </c>
      <c r="AB103" s="3" t="s">
        <v>90</v>
      </c>
      <c r="AC103" s="3" t="s">
        <v>90</v>
      </c>
      <c r="AD103" s="3" t="s">
        <v>91</v>
      </c>
      <c r="AE103" s="3" t="s">
        <v>1415</v>
      </c>
      <c r="AF103" s="3" t="s">
        <v>174</v>
      </c>
      <c r="AG103" s="3" t="s">
        <v>116</v>
      </c>
      <c r="AH103" s="3" t="str">
        <f>IF(AND(E103&lt;&gt;"",D103&lt;&gt;""),"COVERED","MISSING")</f>
        <v>COVERED</v>
      </c>
    </row>
    <row r="104" spans="1:34">
      <c r="A104" s="3" t="s">
        <v>500</v>
      </c>
      <c r="B104" s="3" t="s">
        <v>1416</v>
      </c>
      <c r="C104" s="3" t="s">
        <v>1101</v>
      </c>
      <c r="D104" s="3" t="s">
        <v>119</v>
      </c>
      <c r="E104" s="3" t="s">
        <v>120</v>
      </c>
      <c r="F104" s="3" t="s">
        <v>1102</v>
      </c>
      <c r="G104" s="3" t="s">
        <v>1038</v>
      </c>
      <c r="H104" s="3" t="s">
        <v>528</v>
      </c>
      <c r="I104" s="3" t="s">
        <v>733</v>
      </c>
      <c r="J104" s="3" t="s">
        <v>1103</v>
      </c>
      <c r="K104" s="3" t="s">
        <v>1408</v>
      </c>
      <c r="L104" s="3" t="s">
        <v>104</v>
      </c>
      <c r="M104" s="3" t="s">
        <v>84</v>
      </c>
      <c r="N104" s="3" t="s">
        <v>104</v>
      </c>
      <c r="O104" s="3" t="s">
        <v>106</v>
      </c>
      <c r="P104" s="3"/>
      <c r="Q104" s="3"/>
      <c r="R104" s="3" t="s">
        <v>1417</v>
      </c>
      <c r="S104" s="3" t="s">
        <v>1418</v>
      </c>
      <c r="T104" s="3" t="s">
        <v>1419</v>
      </c>
      <c r="U104" s="3" t="s">
        <v>84</v>
      </c>
      <c r="V104" s="3" t="s">
        <v>85</v>
      </c>
      <c r="W104" s="3" t="s">
        <v>1420</v>
      </c>
      <c r="X104" s="3" t="s">
        <v>1109</v>
      </c>
      <c r="Y104" s="3" t="s">
        <v>1421</v>
      </c>
      <c r="Z104" s="3" t="s">
        <v>1422</v>
      </c>
      <c r="AA104" s="3" t="s">
        <v>85</v>
      </c>
      <c r="AB104" s="3" t="s">
        <v>90</v>
      </c>
      <c r="AC104" s="3" t="s">
        <v>90</v>
      </c>
      <c r="AD104" s="3" t="s">
        <v>91</v>
      </c>
      <c r="AE104" s="3" t="s">
        <v>174</v>
      </c>
      <c r="AF104" s="3" t="s">
        <v>1423</v>
      </c>
      <c r="AG104" s="3" t="s">
        <v>116</v>
      </c>
      <c r="AH104" s="3" t="str">
        <f>IF(AND(E104&lt;&gt;"",D104&lt;&gt;""),"COVERED","MISSING")</f>
        <v>COVERED</v>
      </c>
    </row>
    <row r="105" spans="1:34">
      <c r="A105" s="3" t="s">
        <v>500</v>
      </c>
      <c r="B105" s="3" t="s">
        <v>1424</v>
      </c>
      <c r="C105" s="3" t="s">
        <v>1425</v>
      </c>
      <c r="D105" s="3" t="s">
        <v>556</v>
      </c>
      <c r="E105" s="3" t="s">
        <v>557</v>
      </c>
      <c r="F105" s="3" t="s">
        <v>1426</v>
      </c>
      <c r="G105" s="3" t="s">
        <v>584</v>
      </c>
      <c r="H105" s="3" t="s">
        <v>76</v>
      </c>
      <c r="I105" s="3" t="s">
        <v>497</v>
      </c>
      <c r="J105" s="3" t="s">
        <v>1427</v>
      </c>
      <c r="K105" s="3" t="s">
        <v>1408</v>
      </c>
      <c r="L105" s="3"/>
      <c r="M105" s="3" t="s">
        <v>80</v>
      </c>
      <c r="N105" s="3"/>
      <c r="O105" s="3"/>
      <c r="P105" s="3"/>
      <c r="Q105" s="3"/>
      <c r="R105" s="3" t="s">
        <v>1428</v>
      </c>
      <c r="S105" s="3" t="s">
        <v>1429</v>
      </c>
      <c r="T105" s="3" t="s">
        <v>1430</v>
      </c>
      <c r="U105" s="3" t="s">
        <v>84</v>
      </c>
      <c r="V105" s="3" t="s">
        <v>85</v>
      </c>
      <c r="W105" s="3" t="s">
        <v>1431</v>
      </c>
      <c r="X105" s="3" t="s">
        <v>1432</v>
      </c>
      <c r="Y105" s="3" t="s">
        <v>1433</v>
      </c>
      <c r="Z105" s="3" t="s">
        <v>1434</v>
      </c>
      <c r="AA105" s="3" t="s">
        <v>85</v>
      </c>
      <c r="AB105" s="3" t="s">
        <v>90</v>
      </c>
      <c r="AC105" s="3" t="s">
        <v>90</v>
      </c>
      <c r="AD105" s="3" t="s">
        <v>91</v>
      </c>
      <c r="AE105" s="3" t="s">
        <v>1435</v>
      </c>
      <c r="AF105" s="3" t="s">
        <v>174</v>
      </c>
      <c r="AG105" s="3" t="s">
        <v>94</v>
      </c>
      <c r="AH105" s="3" t="str">
        <f>IF(AND(E105&lt;&gt;"",D105&lt;&gt;""),"COVERED","MISSING")</f>
        <v>COVERED</v>
      </c>
    </row>
    <row r="106" spans="1:34">
      <c r="A106" s="3" t="s">
        <v>500</v>
      </c>
      <c r="B106" s="3" t="s">
        <v>1436</v>
      </c>
      <c r="C106" s="3" t="s">
        <v>1437</v>
      </c>
      <c r="D106" s="3" t="s">
        <v>556</v>
      </c>
      <c r="E106" s="3" t="s">
        <v>557</v>
      </c>
      <c r="F106" s="3" t="s">
        <v>1438</v>
      </c>
      <c r="G106" s="3" t="s">
        <v>1439</v>
      </c>
      <c r="H106" s="3" t="s">
        <v>76</v>
      </c>
      <c r="I106" s="3" t="s">
        <v>497</v>
      </c>
      <c r="J106" s="3" t="s">
        <v>1427</v>
      </c>
      <c r="K106" s="3" t="s">
        <v>1408</v>
      </c>
      <c r="L106" s="3"/>
      <c r="M106" s="3" t="s">
        <v>80</v>
      </c>
      <c r="N106" s="3"/>
      <c r="O106" s="3"/>
      <c r="P106" s="3"/>
      <c r="Q106" s="3"/>
      <c r="R106" s="3" t="s">
        <v>1053</v>
      </c>
      <c r="S106" s="3" t="s">
        <v>1440</v>
      </c>
      <c r="T106" s="3" t="s">
        <v>1441</v>
      </c>
      <c r="U106" s="3" t="s">
        <v>84</v>
      </c>
      <c r="V106" s="3" t="s">
        <v>85</v>
      </c>
      <c r="W106" s="3" t="s">
        <v>1442</v>
      </c>
      <c r="X106" s="3" t="s">
        <v>1443</v>
      </c>
      <c r="Y106" s="3" t="s">
        <v>1444</v>
      </c>
      <c r="Z106" s="3" t="s">
        <v>1445</v>
      </c>
      <c r="AA106" s="3" t="s">
        <v>85</v>
      </c>
      <c r="AB106" s="3" t="s">
        <v>90</v>
      </c>
      <c r="AC106" s="3" t="s">
        <v>90</v>
      </c>
      <c r="AD106" s="3" t="s">
        <v>91</v>
      </c>
      <c r="AE106" s="3" t="s">
        <v>1415</v>
      </c>
      <c r="AF106" s="3" t="s">
        <v>174</v>
      </c>
      <c r="AG106" s="3" t="s">
        <v>94</v>
      </c>
      <c r="AH106" s="3" t="str">
        <f>IF(AND(E106&lt;&gt;"",D106&lt;&gt;""),"COVERED","MISSING")</f>
        <v>COVERED</v>
      </c>
    </row>
    <row r="107" spans="1:34">
      <c r="A107" s="3" t="s">
        <v>500</v>
      </c>
      <c r="B107" s="3" t="s">
        <v>1446</v>
      </c>
      <c r="C107" s="3" t="s">
        <v>1447</v>
      </c>
      <c r="D107" s="3" t="s">
        <v>119</v>
      </c>
      <c r="E107" s="3" t="s">
        <v>120</v>
      </c>
      <c r="F107" s="3" t="s">
        <v>1448</v>
      </c>
      <c r="G107" s="3" t="s">
        <v>1449</v>
      </c>
      <c r="H107" s="3" t="s">
        <v>1450</v>
      </c>
      <c r="I107" s="3" t="s">
        <v>1451</v>
      </c>
      <c r="J107" s="3" t="s">
        <v>1452</v>
      </c>
      <c r="K107" s="3" t="s">
        <v>1408</v>
      </c>
      <c r="L107" s="3" t="s">
        <v>104</v>
      </c>
      <c r="M107" s="3" t="s">
        <v>84</v>
      </c>
      <c r="N107" s="3" t="s">
        <v>105</v>
      </c>
      <c r="O107" s="3" t="s">
        <v>106</v>
      </c>
      <c r="P107" s="3"/>
      <c r="Q107" s="3"/>
      <c r="R107" s="3" t="s">
        <v>1453</v>
      </c>
      <c r="S107" s="3" t="s">
        <v>1454</v>
      </c>
      <c r="T107" s="3" t="s">
        <v>1455</v>
      </c>
      <c r="U107" s="3" t="s">
        <v>84</v>
      </c>
      <c r="V107" s="3" t="s">
        <v>266</v>
      </c>
      <c r="W107" s="3" t="s">
        <v>1456</v>
      </c>
      <c r="X107" s="3" t="s">
        <v>1457</v>
      </c>
      <c r="Y107" s="3" t="s">
        <v>715</v>
      </c>
      <c r="Z107" s="3" t="s">
        <v>1458</v>
      </c>
      <c r="AA107" s="3" t="s">
        <v>85</v>
      </c>
      <c r="AB107" s="3" t="s">
        <v>114</v>
      </c>
      <c r="AC107" s="3" t="s">
        <v>90</v>
      </c>
      <c r="AD107" s="3" t="s">
        <v>91</v>
      </c>
      <c r="AE107" s="3" t="s">
        <v>1459</v>
      </c>
      <c r="AF107" s="3" t="s">
        <v>1460</v>
      </c>
      <c r="AG107" s="3" t="s">
        <v>116</v>
      </c>
      <c r="AH107" s="3" t="str">
        <f>IF(AND(E107&lt;&gt;"",D107&lt;&gt;""),"COVERED","MISSING")</f>
        <v>COVERED</v>
      </c>
    </row>
    <row r="108" spans="1:34">
      <c r="A108" s="3" t="s">
        <v>500</v>
      </c>
      <c r="B108" s="3" t="s">
        <v>1461</v>
      </c>
      <c r="C108" s="3" t="s">
        <v>1462</v>
      </c>
      <c r="D108" s="3" t="s">
        <v>119</v>
      </c>
      <c r="E108" s="3" t="s">
        <v>120</v>
      </c>
      <c r="F108" s="3" t="s">
        <v>1463</v>
      </c>
      <c r="G108" s="3" t="s">
        <v>1464</v>
      </c>
      <c r="H108" s="3" t="s">
        <v>1450</v>
      </c>
      <c r="I108" s="3" t="s">
        <v>1451</v>
      </c>
      <c r="J108" s="3" t="s">
        <v>1452</v>
      </c>
      <c r="K108" s="3" t="s">
        <v>1408</v>
      </c>
      <c r="L108" s="3" t="s">
        <v>104</v>
      </c>
      <c r="M108" s="3" t="s">
        <v>84</v>
      </c>
      <c r="N108" s="3" t="s">
        <v>105</v>
      </c>
      <c r="O108" s="3" t="s">
        <v>106</v>
      </c>
      <c r="P108" s="3"/>
      <c r="Q108" s="3"/>
      <c r="R108" s="3" t="s">
        <v>1465</v>
      </c>
      <c r="S108" s="3" t="s">
        <v>1466</v>
      </c>
      <c r="T108" s="3" t="s">
        <v>1467</v>
      </c>
      <c r="U108" s="3" t="s">
        <v>84</v>
      </c>
      <c r="V108" s="3" t="s">
        <v>266</v>
      </c>
      <c r="W108" s="3" t="s">
        <v>1468</v>
      </c>
      <c r="X108" s="3" t="s">
        <v>1469</v>
      </c>
      <c r="Y108" s="3" t="s">
        <v>715</v>
      </c>
      <c r="Z108" s="3" t="s">
        <v>1470</v>
      </c>
      <c r="AA108" s="3" t="s">
        <v>85</v>
      </c>
      <c r="AB108" s="3" t="s">
        <v>114</v>
      </c>
      <c r="AC108" s="3" t="s">
        <v>90</v>
      </c>
      <c r="AD108" s="3" t="s">
        <v>91</v>
      </c>
      <c r="AE108" s="3" t="s">
        <v>1459</v>
      </c>
      <c r="AF108" s="3" t="s">
        <v>1471</v>
      </c>
      <c r="AG108" s="3" t="s">
        <v>116</v>
      </c>
      <c r="AH108" s="3" t="str">
        <f>IF(AND(E108&lt;&gt;"",D108&lt;&gt;""),"COVERED","MISSING")</f>
        <v>COVERED</v>
      </c>
    </row>
    <row r="109" spans="1:34">
      <c r="A109" s="3" t="s">
        <v>500</v>
      </c>
      <c r="B109" s="3" t="s">
        <v>1472</v>
      </c>
      <c r="C109" s="3" t="s">
        <v>1473</v>
      </c>
      <c r="D109" s="3" t="s">
        <v>119</v>
      </c>
      <c r="E109" s="3" t="s">
        <v>120</v>
      </c>
      <c r="F109" s="3" t="s">
        <v>1474</v>
      </c>
      <c r="G109" s="3" t="s">
        <v>1475</v>
      </c>
      <c r="H109" s="3" t="s">
        <v>465</v>
      </c>
      <c r="I109" s="3" t="s">
        <v>466</v>
      </c>
      <c r="J109" s="3" t="s">
        <v>642</v>
      </c>
      <c r="K109" s="3" t="s">
        <v>1408</v>
      </c>
      <c r="L109" s="3" t="s">
        <v>104</v>
      </c>
      <c r="M109" s="3" t="s">
        <v>84</v>
      </c>
      <c r="N109" s="3" t="s">
        <v>105</v>
      </c>
      <c r="O109" s="3" t="s">
        <v>643</v>
      </c>
      <c r="P109" s="3"/>
      <c r="Q109" s="3"/>
      <c r="R109" s="3" t="s">
        <v>1476</v>
      </c>
      <c r="S109" s="3" t="s">
        <v>1477</v>
      </c>
      <c r="T109" s="3" t="s">
        <v>1478</v>
      </c>
      <c r="U109" s="3" t="s">
        <v>84</v>
      </c>
      <c r="V109" s="3" t="s">
        <v>85</v>
      </c>
      <c r="W109" s="3" t="s">
        <v>1479</v>
      </c>
      <c r="X109" s="3" t="s">
        <v>1480</v>
      </c>
      <c r="Y109" s="3" t="s">
        <v>1481</v>
      </c>
      <c r="Z109" s="3" t="s">
        <v>1482</v>
      </c>
      <c r="AA109" s="3" t="s">
        <v>85</v>
      </c>
      <c r="AB109" s="3" t="s">
        <v>114</v>
      </c>
      <c r="AC109" s="3" t="s">
        <v>90</v>
      </c>
      <c r="AD109" s="3" t="s">
        <v>91</v>
      </c>
      <c r="AE109" s="3" t="s">
        <v>174</v>
      </c>
      <c r="AF109" s="3" t="s">
        <v>1483</v>
      </c>
      <c r="AG109" s="3" t="s">
        <v>116</v>
      </c>
      <c r="AH109" s="3" t="str">
        <f>IF(AND(E109&lt;&gt;"",D109&lt;&gt;""),"COVERED","MISSING")</f>
        <v>COVERED</v>
      </c>
    </row>
    <row r="110" spans="1:34">
      <c r="A110" s="3" t="s">
        <v>500</v>
      </c>
      <c r="B110" s="3" t="s">
        <v>1484</v>
      </c>
      <c r="C110" s="3" t="s">
        <v>1485</v>
      </c>
      <c r="D110" s="3" t="s">
        <v>556</v>
      </c>
      <c r="E110" s="3" t="s">
        <v>557</v>
      </c>
      <c r="F110" s="3" t="s">
        <v>1486</v>
      </c>
      <c r="G110" s="3" t="s">
        <v>1487</v>
      </c>
      <c r="H110" s="3" t="s">
        <v>465</v>
      </c>
      <c r="I110" s="3" t="s">
        <v>497</v>
      </c>
      <c r="J110" s="3" t="s">
        <v>1488</v>
      </c>
      <c r="K110" s="3" t="s">
        <v>1489</v>
      </c>
      <c r="L110" s="3"/>
      <c r="M110" s="3" t="s">
        <v>80</v>
      </c>
      <c r="N110" s="3"/>
      <c r="O110" s="3"/>
      <c r="P110" s="3"/>
      <c r="Q110" s="3"/>
      <c r="R110" s="3" t="s">
        <v>1490</v>
      </c>
      <c r="S110" s="3" t="s">
        <v>1491</v>
      </c>
      <c r="T110" s="3" t="s">
        <v>1492</v>
      </c>
      <c r="U110" s="3" t="s">
        <v>1493</v>
      </c>
      <c r="V110" s="3" t="s">
        <v>85</v>
      </c>
      <c r="W110" s="3" t="s">
        <v>1494</v>
      </c>
      <c r="X110" s="3" t="s">
        <v>1495</v>
      </c>
      <c r="Y110" s="3" t="s">
        <v>1496</v>
      </c>
      <c r="Z110" s="3" t="s">
        <v>1497</v>
      </c>
      <c r="AA110" s="3" t="s">
        <v>85</v>
      </c>
      <c r="AB110" s="3" t="s">
        <v>114</v>
      </c>
      <c r="AC110" s="3" t="s">
        <v>90</v>
      </c>
      <c r="AD110" s="3" t="s">
        <v>91</v>
      </c>
      <c r="AE110" s="3" t="s">
        <v>1415</v>
      </c>
      <c r="AF110" s="3" t="s">
        <v>1498</v>
      </c>
      <c r="AG110" s="3" t="s">
        <v>94</v>
      </c>
      <c r="AH110" s="3" t="str">
        <f>IF(AND(E110&lt;&gt;"",D110&lt;&gt;""),"COVERED","MISSING")</f>
        <v>COVERED</v>
      </c>
    </row>
    <row r="111" spans="1:34">
      <c r="A111" s="3" t="s">
        <v>500</v>
      </c>
      <c r="B111" s="3" t="s">
        <v>1499</v>
      </c>
      <c r="C111" s="3" t="s">
        <v>1240</v>
      </c>
      <c r="D111" s="3" t="s">
        <v>119</v>
      </c>
      <c r="E111" s="3" t="s">
        <v>120</v>
      </c>
      <c r="F111" s="3" t="s">
        <v>1500</v>
      </c>
      <c r="G111" s="3" t="s">
        <v>1217</v>
      </c>
      <c r="H111" s="3" t="s">
        <v>528</v>
      </c>
      <c r="I111" s="3" t="s">
        <v>733</v>
      </c>
      <c r="J111" s="3" t="s">
        <v>1501</v>
      </c>
      <c r="K111" s="3" t="s">
        <v>1502</v>
      </c>
      <c r="L111" s="3" t="s">
        <v>105</v>
      </c>
      <c r="M111" s="3" t="s">
        <v>212</v>
      </c>
      <c r="N111" s="3" t="s">
        <v>105</v>
      </c>
      <c r="O111" s="3" t="s">
        <v>106</v>
      </c>
      <c r="P111" s="3"/>
      <c r="Q111" s="3"/>
      <c r="R111" s="3" t="s">
        <v>1503</v>
      </c>
      <c r="S111" s="3" t="s">
        <v>1504</v>
      </c>
      <c r="T111" s="3" t="s">
        <v>1505</v>
      </c>
      <c r="U111" s="3" t="s">
        <v>84</v>
      </c>
      <c r="V111" s="3" t="s">
        <v>85</v>
      </c>
      <c r="W111" s="3" t="s">
        <v>1506</v>
      </c>
      <c r="X111" s="3" t="s">
        <v>1507</v>
      </c>
      <c r="Y111" s="3" t="s">
        <v>1508</v>
      </c>
      <c r="Z111" s="3" t="s">
        <v>1509</v>
      </c>
      <c r="AA111" s="3" t="s">
        <v>266</v>
      </c>
      <c r="AB111" s="3" t="s">
        <v>114</v>
      </c>
      <c r="AC111" s="3" t="s">
        <v>114</v>
      </c>
      <c r="AD111" s="3" t="s">
        <v>173</v>
      </c>
      <c r="AE111" s="3" t="s">
        <v>1423</v>
      </c>
      <c r="AF111" s="3" t="s">
        <v>1460</v>
      </c>
      <c r="AG111" s="3" t="s">
        <v>116</v>
      </c>
      <c r="AH111" s="3" t="str">
        <f>IF(AND(E111&lt;&gt;"",D111&lt;&gt;""),"COVERED","MISSING")</f>
        <v>COVERED</v>
      </c>
    </row>
    <row r="112" spans="1:34">
      <c r="A112" s="3" t="s">
        <v>500</v>
      </c>
      <c r="B112" s="3" t="s">
        <v>1510</v>
      </c>
      <c r="C112" s="3" t="s">
        <v>462</v>
      </c>
      <c r="D112" s="3" t="s">
        <v>119</v>
      </c>
      <c r="E112" s="3" t="s">
        <v>120</v>
      </c>
      <c r="F112" s="3" t="s">
        <v>1511</v>
      </c>
      <c r="G112" s="3" t="s">
        <v>1475</v>
      </c>
      <c r="H112" s="3" t="s">
        <v>465</v>
      </c>
      <c r="I112" s="3" t="s">
        <v>466</v>
      </c>
      <c r="J112" s="3" t="s">
        <v>642</v>
      </c>
      <c r="K112" s="3" t="s">
        <v>1489</v>
      </c>
      <c r="L112" s="3" t="s">
        <v>105</v>
      </c>
      <c r="M112" s="3" t="s">
        <v>84</v>
      </c>
      <c r="N112" s="3" t="s">
        <v>258</v>
      </c>
      <c r="O112" s="3" t="s">
        <v>643</v>
      </c>
      <c r="P112" s="3"/>
      <c r="Q112" s="3"/>
      <c r="R112" s="3" t="s">
        <v>1512</v>
      </c>
      <c r="S112" s="3" t="s">
        <v>1513</v>
      </c>
      <c r="T112" s="3" t="s">
        <v>1514</v>
      </c>
      <c r="U112" s="3" t="s">
        <v>84</v>
      </c>
      <c r="V112" s="3" t="s">
        <v>85</v>
      </c>
      <c r="W112" s="3" t="s">
        <v>1515</v>
      </c>
      <c r="X112" s="3" t="s">
        <v>1516</v>
      </c>
      <c r="Y112" s="3" t="s">
        <v>1517</v>
      </c>
      <c r="Z112" s="3" t="s">
        <v>1518</v>
      </c>
      <c r="AA112" s="3" t="s">
        <v>85</v>
      </c>
      <c r="AB112" s="3" t="s">
        <v>267</v>
      </c>
      <c r="AC112" s="3" t="s">
        <v>114</v>
      </c>
      <c r="AD112" s="3" t="s">
        <v>173</v>
      </c>
      <c r="AE112" s="3" t="s">
        <v>174</v>
      </c>
      <c r="AF112" s="3" t="s">
        <v>478</v>
      </c>
      <c r="AG112" s="3" t="s">
        <v>116</v>
      </c>
      <c r="AH112" s="3" t="str">
        <f>IF(AND(E112&lt;&gt;"",D112&lt;&gt;""),"COVERED","MISSING")</f>
        <v>COVERED</v>
      </c>
    </row>
    <row r="113" spans="1:34">
      <c r="A113" s="3" t="s">
        <v>500</v>
      </c>
      <c r="B113" s="3" t="s">
        <v>1519</v>
      </c>
      <c r="C113" s="3" t="s">
        <v>1520</v>
      </c>
      <c r="D113" s="3" t="s">
        <v>119</v>
      </c>
      <c r="E113" s="3" t="s">
        <v>120</v>
      </c>
      <c r="F113" s="3" t="s">
        <v>1521</v>
      </c>
      <c r="G113" s="3" t="s">
        <v>1522</v>
      </c>
      <c r="H113" s="3" t="s">
        <v>162</v>
      </c>
      <c r="I113" s="3" t="s">
        <v>163</v>
      </c>
      <c r="J113" s="3" t="s">
        <v>1523</v>
      </c>
      <c r="K113" s="3" t="s">
        <v>1524</v>
      </c>
      <c r="L113" s="3" t="s">
        <v>105</v>
      </c>
      <c r="M113" s="3" t="s">
        <v>84</v>
      </c>
      <c r="N113" s="3" t="s">
        <v>105</v>
      </c>
      <c r="O113" s="3" t="s">
        <v>106</v>
      </c>
      <c r="P113" s="3"/>
      <c r="Q113" s="3"/>
      <c r="R113" s="3" t="s">
        <v>1525</v>
      </c>
      <c r="S113" s="3" t="s">
        <v>1526</v>
      </c>
      <c r="T113" s="3" t="s">
        <v>1527</v>
      </c>
      <c r="U113" s="3" t="s">
        <v>1528</v>
      </c>
      <c r="V113" s="3" t="s">
        <v>85</v>
      </c>
      <c r="W113" s="3" t="s">
        <v>1529</v>
      </c>
      <c r="X113" s="3" t="s">
        <v>1530</v>
      </c>
      <c r="Y113" s="3" t="s">
        <v>1531</v>
      </c>
      <c r="Z113" s="3" t="s">
        <v>1532</v>
      </c>
      <c r="AA113" s="3" t="s">
        <v>85</v>
      </c>
      <c r="AB113" s="3" t="s">
        <v>114</v>
      </c>
      <c r="AC113" s="3" t="s">
        <v>267</v>
      </c>
      <c r="AD113" s="3" t="s">
        <v>236</v>
      </c>
      <c r="AE113" s="3" t="s">
        <v>1026</v>
      </c>
      <c r="AF113" s="3" t="s">
        <v>1415</v>
      </c>
      <c r="AG113" s="3" t="s">
        <v>116</v>
      </c>
      <c r="AH113" s="3" t="str">
        <f>IF(AND(E113&lt;&gt;"",D113&lt;&gt;""),"COVERED","MISSING")</f>
        <v>COVERED</v>
      </c>
    </row>
    <row r="114" spans="1:34">
      <c r="A114" s="3" t="s">
        <v>500</v>
      </c>
      <c r="B114" s="3" t="s">
        <v>1533</v>
      </c>
      <c r="C114" s="3" t="s">
        <v>1534</v>
      </c>
      <c r="D114" s="3" t="s">
        <v>119</v>
      </c>
      <c r="E114" s="3" t="s">
        <v>120</v>
      </c>
      <c r="F114" s="3" t="s">
        <v>1535</v>
      </c>
      <c r="G114" s="3" t="s">
        <v>1038</v>
      </c>
      <c r="H114" s="3" t="s">
        <v>528</v>
      </c>
      <c r="I114" s="3" t="s">
        <v>733</v>
      </c>
      <c r="J114" s="3" t="s">
        <v>1536</v>
      </c>
      <c r="K114" s="3" t="s">
        <v>1524</v>
      </c>
      <c r="L114" s="3" t="s">
        <v>105</v>
      </c>
      <c r="M114" s="3" t="s">
        <v>84</v>
      </c>
      <c r="N114" s="3" t="s">
        <v>105</v>
      </c>
      <c r="O114" s="3" t="s">
        <v>106</v>
      </c>
      <c r="P114" s="3"/>
      <c r="Q114" s="3"/>
      <c r="R114" s="3" t="s">
        <v>1537</v>
      </c>
      <c r="S114" s="3" t="s">
        <v>1538</v>
      </c>
      <c r="T114" s="3" t="s">
        <v>1539</v>
      </c>
      <c r="U114" s="3" t="s">
        <v>84</v>
      </c>
      <c r="V114" s="3" t="s">
        <v>85</v>
      </c>
      <c r="W114" s="3" t="s">
        <v>1540</v>
      </c>
      <c r="X114" s="3" t="s">
        <v>1541</v>
      </c>
      <c r="Y114" s="3" t="s">
        <v>1542</v>
      </c>
      <c r="Z114" s="3" t="s">
        <v>1543</v>
      </c>
      <c r="AA114" s="3" t="s">
        <v>85</v>
      </c>
      <c r="AB114" s="3" t="s">
        <v>114</v>
      </c>
      <c r="AC114" s="3" t="s">
        <v>267</v>
      </c>
      <c r="AD114" s="3" t="s">
        <v>236</v>
      </c>
      <c r="AE114" s="3" t="s">
        <v>174</v>
      </c>
      <c r="AF114" s="3" t="s">
        <v>1498</v>
      </c>
      <c r="AG114" s="3" t="s">
        <v>116</v>
      </c>
      <c r="AH114" s="3" t="str">
        <f>IF(AND(E114&lt;&gt;"",D114&lt;&gt;""),"COVERED","MISSING")</f>
        <v>COVERED</v>
      </c>
    </row>
    <row r="115" spans="1:34">
      <c r="A115" s="3" t="s">
        <v>500</v>
      </c>
      <c r="B115" s="3" t="s">
        <v>1544</v>
      </c>
      <c r="C115" s="3" t="s">
        <v>1545</v>
      </c>
      <c r="D115" s="3" t="s">
        <v>119</v>
      </c>
      <c r="E115" s="3" t="s">
        <v>120</v>
      </c>
      <c r="F115" s="3" t="s">
        <v>1546</v>
      </c>
      <c r="G115" s="3" t="s">
        <v>428</v>
      </c>
      <c r="H115" s="3" t="s">
        <v>396</v>
      </c>
      <c r="I115" s="3" t="s">
        <v>397</v>
      </c>
      <c r="J115" s="3" t="s">
        <v>1547</v>
      </c>
      <c r="K115" s="3" t="s">
        <v>1524</v>
      </c>
      <c r="L115" s="3" t="s">
        <v>105</v>
      </c>
      <c r="M115" s="3" t="s">
        <v>84</v>
      </c>
      <c r="N115" s="3" t="s">
        <v>105</v>
      </c>
      <c r="O115" s="3" t="s">
        <v>106</v>
      </c>
      <c r="P115" s="3"/>
      <c r="Q115" s="3"/>
      <c r="R115" s="3" t="s">
        <v>1537</v>
      </c>
      <c r="S115" s="3" t="s">
        <v>1548</v>
      </c>
      <c r="T115" s="3" t="s">
        <v>1549</v>
      </c>
      <c r="U115" s="3" t="s">
        <v>84</v>
      </c>
      <c r="V115" s="3" t="s">
        <v>85</v>
      </c>
      <c r="W115" s="3" t="s">
        <v>1550</v>
      </c>
      <c r="X115" s="3" t="s">
        <v>1551</v>
      </c>
      <c r="Y115" s="3" t="s">
        <v>1552</v>
      </c>
      <c r="Z115" s="3" t="s">
        <v>1553</v>
      </c>
      <c r="AA115" s="3" t="s">
        <v>85</v>
      </c>
      <c r="AB115" s="3" t="s">
        <v>114</v>
      </c>
      <c r="AC115" s="3" t="s">
        <v>267</v>
      </c>
      <c r="AD115" s="3" t="s">
        <v>236</v>
      </c>
      <c r="AE115" s="3" t="s">
        <v>174</v>
      </c>
      <c r="AF115" s="3" t="s">
        <v>1554</v>
      </c>
      <c r="AG115" s="3" t="s">
        <v>116</v>
      </c>
      <c r="AH115" s="3" t="str">
        <f>IF(AND(E115&lt;&gt;"",D115&lt;&gt;""),"COVERED","MISSING")</f>
        <v>COVERED</v>
      </c>
    </row>
    <row r="116" spans="1:34">
      <c r="A116" s="3" t="s">
        <v>500</v>
      </c>
      <c r="B116" s="3" t="s">
        <v>1555</v>
      </c>
      <c r="C116" s="3" t="s">
        <v>686</v>
      </c>
      <c r="D116" s="3" t="s">
        <v>119</v>
      </c>
      <c r="E116" s="3" t="s">
        <v>120</v>
      </c>
      <c r="F116" s="3" t="s">
        <v>1556</v>
      </c>
      <c r="G116" s="3" t="s">
        <v>1285</v>
      </c>
      <c r="H116" s="3" t="s">
        <v>689</v>
      </c>
      <c r="I116" s="3" t="s">
        <v>1286</v>
      </c>
      <c r="J116" s="3" t="s">
        <v>1557</v>
      </c>
      <c r="K116" s="3" t="s">
        <v>1524</v>
      </c>
      <c r="L116" s="3" t="s">
        <v>258</v>
      </c>
      <c r="M116" s="3" t="s">
        <v>80</v>
      </c>
      <c r="N116" s="3" t="s">
        <v>258</v>
      </c>
      <c r="O116" s="3" t="s">
        <v>106</v>
      </c>
      <c r="P116" s="3"/>
      <c r="Q116" s="3"/>
      <c r="R116" s="3" t="s">
        <v>1537</v>
      </c>
      <c r="S116" s="3" t="s">
        <v>1558</v>
      </c>
      <c r="T116" s="3" t="s">
        <v>1559</v>
      </c>
      <c r="U116" s="3" t="s">
        <v>84</v>
      </c>
      <c r="V116" s="3" t="s">
        <v>85</v>
      </c>
      <c r="W116" s="3" t="s">
        <v>1560</v>
      </c>
      <c r="X116" s="3" t="s">
        <v>1561</v>
      </c>
      <c r="Y116" s="3" t="s">
        <v>1562</v>
      </c>
      <c r="Z116" s="3" t="s">
        <v>1563</v>
      </c>
      <c r="AA116" s="3" t="s">
        <v>85</v>
      </c>
      <c r="AB116" s="3" t="s">
        <v>267</v>
      </c>
      <c r="AC116" s="3" t="s">
        <v>267</v>
      </c>
      <c r="AD116" s="3" t="s">
        <v>236</v>
      </c>
      <c r="AE116" s="3" t="s">
        <v>174</v>
      </c>
      <c r="AF116" s="3" t="s">
        <v>1471</v>
      </c>
      <c r="AG116" s="3" t="s">
        <v>116</v>
      </c>
      <c r="AH116" s="3" t="str">
        <f>IF(AND(E116&lt;&gt;"",D116&lt;&gt;""),"COVERED","MISSING")</f>
        <v>COVERED</v>
      </c>
    </row>
    <row r="117" spans="1:34">
      <c r="A117" s="3" t="s">
        <v>500</v>
      </c>
      <c r="B117" s="3" t="s">
        <v>1564</v>
      </c>
      <c r="C117" s="3" t="s">
        <v>698</v>
      </c>
      <c r="D117" s="3" t="s">
        <v>119</v>
      </c>
      <c r="E117" s="3" t="s">
        <v>120</v>
      </c>
      <c r="F117" s="3" t="s">
        <v>1565</v>
      </c>
      <c r="G117" s="3" t="s">
        <v>1285</v>
      </c>
      <c r="H117" s="3" t="s">
        <v>689</v>
      </c>
      <c r="I117" s="3" t="s">
        <v>1286</v>
      </c>
      <c r="J117" s="3" t="s">
        <v>1557</v>
      </c>
      <c r="K117" s="3" t="s">
        <v>1524</v>
      </c>
      <c r="L117" s="3" t="s">
        <v>258</v>
      </c>
      <c r="M117" s="3" t="s">
        <v>80</v>
      </c>
      <c r="N117" s="3" t="s">
        <v>258</v>
      </c>
      <c r="O117" s="3" t="s">
        <v>106</v>
      </c>
      <c r="P117" s="3"/>
      <c r="Q117" s="3"/>
      <c r="R117" s="3" t="s">
        <v>1537</v>
      </c>
      <c r="S117" s="3" t="s">
        <v>1566</v>
      </c>
      <c r="T117" s="3" t="s">
        <v>1567</v>
      </c>
      <c r="U117" s="3" t="s">
        <v>84</v>
      </c>
      <c r="V117" s="3" t="s">
        <v>85</v>
      </c>
      <c r="W117" s="3" t="s">
        <v>693</v>
      </c>
      <c r="X117" s="3" t="s">
        <v>1568</v>
      </c>
      <c r="Y117" s="3" t="s">
        <v>1569</v>
      </c>
      <c r="Z117" s="3" t="s">
        <v>1570</v>
      </c>
      <c r="AA117" s="3" t="s">
        <v>266</v>
      </c>
      <c r="AB117" s="3" t="s">
        <v>267</v>
      </c>
      <c r="AC117" s="3" t="s">
        <v>267</v>
      </c>
      <c r="AD117" s="3" t="s">
        <v>236</v>
      </c>
      <c r="AE117" s="3" t="s">
        <v>174</v>
      </c>
      <c r="AF117" s="3" t="s">
        <v>1571</v>
      </c>
      <c r="AG117" s="3" t="s">
        <v>116</v>
      </c>
      <c r="AH117" s="3" t="str">
        <f>IF(AND(E117&lt;&gt;"",D117&lt;&gt;""),"COVERED","MISSING")</f>
        <v>COVERED</v>
      </c>
    </row>
    <row r="118" spans="1:34">
      <c r="A118" s="3" t="s">
        <v>500</v>
      </c>
      <c r="B118" s="3" t="s">
        <v>1572</v>
      </c>
      <c r="C118" s="3" t="s">
        <v>1573</v>
      </c>
      <c r="D118" s="3" t="s">
        <v>119</v>
      </c>
      <c r="E118" s="3" t="s">
        <v>120</v>
      </c>
      <c r="F118" s="3" t="s">
        <v>1574</v>
      </c>
      <c r="G118" s="3" t="s">
        <v>1575</v>
      </c>
      <c r="H118" s="3" t="s">
        <v>1576</v>
      </c>
      <c r="I118" s="3" t="s">
        <v>1286</v>
      </c>
      <c r="J118" s="3" t="s">
        <v>1557</v>
      </c>
      <c r="K118" s="3" t="s">
        <v>1524</v>
      </c>
      <c r="L118" s="3" t="s">
        <v>258</v>
      </c>
      <c r="M118" s="3" t="s">
        <v>80</v>
      </c>
      <c r="N118" s="3" t="s">
        <v>258</v>
      </c>
      <c r="O118" s="3" t="s">
        <v>106</v>
      </c>
      <c r="P118" s="3"/>
      <c r="Q118" s="3"/>
      <c r="R118" s="3" t="s">
        <v>1577</v>
      </c>
      <c r="S118" s="3" t="s">
        <v>1578</v>
      </c>
      <c r="T118" s="3" t="s">
        <v>1579</v>
      </c>
      <c r="U118" s="3" t="s">
        <v>84</v>
      </c>
      <c r="V118" s="3" t="s">
        <v>85</v>
      </c>
      <c r="W118" s="3" t="s">
        <v>1580</v>
      </c>
      <c r="X118" s="3" t="s">
        <v>1581</v>
      </c>
      <c r="Y118" s="3" t="s">
        <v>1582</v>
      </c>
      <c r="Z118" s="3" t="s">
        <v>1583</v>
      </c>
      <c r="AA118" s="3" t="s">
        <v>266</v>
      </c>
      <c r="AB118" s="3" t="s">
        <v>267</v>
      </c>
      <c r="AC118" s="3" t="s">
        <v>267</v>
      </c>
      <c r="AD118" s="3" t="s">
        <v>236</v>
      </c>
      <c r="AE118" s="3" t="s">
        <v>1584</v>
      </c>
      <c r="AF118" s="3" t="s">
        <v>1460</v>
      </c>
      <c r="AG118" s="3" t="s">
        <v>116</v>
      </c>
      <c r="AH118" s="3" t="str">
        <f>IF(AND(E118&lt;&gt;"",D118&lt;&gt;""),"COVERED","MISSING")</f>
        <v>COVERED</v>
      </c>
    </row>
    <row r="119" spans="1:34">
      <c r="A119" s="3" t="s">
        <v>500</v>
      </c>
      <c r="B119" s="3" t="s">
        <v>1585</v>
      </c>
      <c r="C119" s="3" t="s">
        <v>718</v>
      </c>
      <c r="D119" s="3" t="s">
        <v>119</v>
      </c>
      <c r="E119" s="3" t="s">
        <v>120</v>
      </c>
      <c r="F119" s="3" t="s">
        <v>1586</v>
      </c>
      <c r="G119" s="3" t="s">
        <v>720</v>
      </c>
      <c r="H119" s="3" t="s">
        <v>208</v>
      </c>
      <c r="I119" s="3" t="s">
        <v>209</v>
      </c>
      <c r="J119" s="3" t="s">
        <v>1587</v>
      </c>
      <c r="K119" s="3" t="s">
        <v>1524</v>
      </c>
      <c r="L119" s="3" t="s">
        <v>258</v>
      </c>
      <c r="M119" s="3" t="s">
        <v>80</v>
      </c>
      <c r="N119" s="3" t="s">
        <v>258</v>
      </c>
      <c r="O119" s="3" t="s">
        <v>213</v>
      </c>
      <c r="P119" s="3"/>
      <c r="Q119" s="3"/>
      <c r="R119" s="3" t="s">
        <v>1588</v>
      </c>
      <c r="S119" s="3" t="s">
        <v>1589</v>
      </c>
      <c r="T119" s="3" t="s">
        <v>1590</v>
      </c>
      <c r="U119" s="3" t="s">
        <v>84</v>
      </c>
      <c r="V119" s="3" t="s">
        <v>85</v>
      </c>
      <c r="W119" s="3" t="s">
        <v>1591</v>
      </c>
      <c r="X119" s="3" t="s">
        <v>1592</v>
      </c>
      <c r="Y119" s="3" t="s">
        <v>1569</v>
      </c>
      <c r="Z119" s="3" t="s">
        <v>1593</v>
      </c>
      <c r="AA119" s="3" t="s">
        <v>266</v>
      </c>
      <c r="AB119" s="3" t="s">
        <v>267</v>
      </c>
      <c r="AC119" s="3" t="s">
        <v>267</v>
      </c>
      <c r="AD119" s="3" t="s">
        <v>236</v>
      </c>
      <c r="AE119" s="3" t="s">
        <v>174</v>
      </c>
      <c r="AF119" s="3" t="s">
        <v>1471</v>
      </c>
      <c r="AG119" s="3" t="s">
        <v>116</v>
      </c>
      <c r="AH119" s="3" t="str">
        <f>IF(AND(E119&lt;&gt;"",D119&lt;&gt;""),"COVERED","MISSING")</f>
        <v>COVERED</v>
      </c>
    </row>
    <row r="120" spans="1:34">
      <c r="A120" s="3" t="s">
        <v>500</v>
      </c>
      <c r="B120" s="3" t="s">
        <v>1594</v>
      </c>
      <c r="C120" s="3" t="s">
        <v>177</v>
      </c>
      <c r="D120" s="3" t="s">
        <v>119</v>
      </c>
      <c r="E120" s="3" t="s">
        <v>120</v>
      </c>
      <c r="F120" s="3" t="s">
        <v>1595</v>
      </c>
      <c r="G120" s="3" t="s">
        <v>179</v>
      </c>
      <c r="H120" s="3" t="s">
        <v>162</v>
      </c>
      <c r="I120" s="3" t="s">
        <v>163</v>
      </c>
      <c r="J120" s="3" t="s">
        <v>1596</v>
      </c>
      <c r="K120" s="3" t="s">
        <v>1597</v>
      </c>
      <c r="L120" s="3" t="s">
        <v>105</v>
      </c>
      <c r="M120" s="3" t="s">
        <v>84</v>
      </c>
      <c r="N120" s="3" t="s">
        <v>104</v>
      </c>
      <c r="O120" s="3" t="s">
        <v>106</v>
      </c>
      <c r="P120" s="3"/>
      <c r="Q120" s="3"/>
      <c r="R120" s="3" t="s">
        <v>1537</v>
      </c>
      <c r="S120" s="3" t="s">
        <v>1598</v>
      </c>
      <c r="T120" s="3" t="s">
        <v>1599</v>
      </c>
      <c r="U120" s="3" t="s">
        <v>84</v>
      </c>
      <c r="V120" s="3" t="s">
        <v>85</v>
      </c>
      <c r="W120" s="3" t="s">
        <v>185</v>
      </c>
      <c r="X120" s="3" t="s">
        <v>1600</v>
      </c>
      <c r="Y120" s="3" t="s">
        <v>1601</v>
      </c>
      <c r="Z120" s="3" t="s">
        <v>1602</v>
      </c>
      <c r="AA120" s="3" t="s">
        <v>85</v>
      </c>
      <c r="AB120" s="3" t="s">
        <v>90</v>
      </c>
      <c r="AC120" s="3" t="s">
        <v>923</v>
      </c>
      <c r="AD120" s="3" t="s">
        <v>363</v>
      </c>
      <c r="AE120" s="3" t="s">
        <v>174</v>
      </c>
      <c r="AF120" s="3" t="s">
        <v>1026</v>
      </c>
      <c r="AG120" s="3" t="s">
        <v>116</v>
      </c>
      <c r="AH120" s="3" t="str">
        <f>IF(AND(E120&lt;&gt;"",D120&lt;&gt;""),"COVERED","MISSING")</f>
        <v>COVERED</v>
      </c>
    </row>
    <row r="121" spans="1:34">
      <c r="A121" s="3" t="s">
        <v>500</v>
      </c>
      <c r="B121" s="3" t="s">
        <v>1603</v>
      </c>
      <c r="C121" s="3" t="s">
        <v>224</v>
      </c>
      <c r="D121" s="3" t="s">
        <v>119</v>
      </c>
      <c r="E121" s="3" t="s">
        <v>120</v>
      </c>
      <c r="F121" s="3" t="s">
        <v>1604</v>
      </c>
      <c r="G121" s="3" t="s">
        <v>226</v>
      </c>
      <c r="H121" s="3" t="s">
        <v>162</v>
      </c>
      <c r="I121" s="3" t="s">
        <v>163</v>
      </c>
      <c r="J121" s="3" t="s">
        <v>1596</v>
      </c>
      <c r="K121" s="3" t="s">
        <v>1597</v>
      </c>
      <c r="L121" s="3" t="s">
        <v>105</v>
      </c>
      <c r="M121" s="3" t="s">
        <v>84</v>
      </c>
      <c r="N121" s="3" t="s">
        <v>104</v>
      </c>
      <c r="O121" s="3" t="s">
        <v>106</v>
      </c>
      <c r="P121" s="3"/>
      <c r="Q121" s="3"/>
      <c r="R121" s="3" t="s">
        <v>1605</v>
      </c>
      <c r="S121" s="3" t="s">
        <v>1606</v>
      </c>
      <c r="T121" s="3" t="s">
        <v>1607</v>
      </c>
      <c r="U121" s="3" t="s">
        <v>84</v>
      </c>
      <c r="V121" s="3" t="s">
        <v>85</v>
      </c>
      <c r="W121" s="3" t="s">
        <v>1608</v>
      </c>
      <c r="X121" s="3" t="s">
        <v>1609</v>
      </c>
      <c r="Y121" s="3" t="s">
        <v>1610</v>
      </c>
      <c r="Z121" s="3" t="s">
        <v>1611</v>
      </c>
      <c r="AA121" s="3" t="s">
        <v>85</v>
      </c>
      <c r="AB121" s="3" t="s">
        <v>90</v>
      </c>
      <c r="AC121" s="3" t="s">
        <v>923</v>
      </c>
      <c r="AD121" s="3" t="s">
        <v>363</v>
      </c>
      <c r="AE121" s="3" t="s">
        <v>1026</v>
      </c>
      <c r="AF121" s="3" t="s">
        <v>1471</v>
      </c>
      <c r="AG121" s="3" t="s">
        <v>116</v>
      </c>
      <c r="AH121" s="3" t="str">
        <f>IF(AND(E121&lt;&gt;"",D121&lt;&gt;""),"COVERED","MISSING")</f>
        <v>COVERED</v>
      </c>
    </row>
    <row r="122" spans="1:34">
      <c r="A122" s="3" t="s">
        <v>500</v>
      </c>
      <c r="B122" s="3" t="s">
        <v>1612</v>
      </c>
      <c r="C122" s="3" t="s">
        <v>1613</v>
      </c>
      <c r="D122" s="3" t="s">
        <v>119</v>
      </c>
      <c r="E122" s="3" t="s">
        <v>120</v>
      </c>
      <c r="F122" s="3" t="s">
        <v>1614</v>
      </c>
      <c r="G122" s="3" t="s">
        <v>161</v>
      </c>
      <c r="H122" s="3" t="s">
        <v>162</v>
      </c>
      <c r="I122" s="3" t="s">
        <v>163</v>
      </c>
      <c r="J122" s="3" t="s">
        <v>1596</v>
      </c>
      <c r="K122" s="3" t="s">
        <v>1597</v>
      </c>
      <c r="L122" s="3" t="s">
        <v>105</v>
      </c>
      <c r="M122" s="3" t="s">
        <v>84</v>
      </c>
      <c r="N122" s="3" t="s">
        <v>105</v>
      </c>
      <c r="O122" s="3" t="s">
        <v>106</v>
      </c>
      <c r="P122" s="3"/>
      <c r="Q122" s="3"/>
      <c r="R122" s="3" t="s">
        <v>1615</v>
      </c>
      <c r="S122" s="3" t="s">
        <v>1616</v>
      </c>
      <c r="T122" s="3" t="s">
        <v>1617</v>
      </c>
      <c r="U122" s="3" t="s">
        <v>84</v>
      </c>
      <c r="V122" s="3" t="s">
        <v>85</v>
      </c>
      <c r="W122" s="3" t="s">
        <v>1618</v>
      </c>
      <c r="X122" s="3" t="s">
        <v>1619</v>
      </c>
      <c r="Y122" s="3" t="s">
        <v>1620</v>
      </c>
      <c r="Z122" s="3" t="s">
        <v>1621</v>
      </c>
      <c r="AA122" s="3" t="s">
        <v>85</v>
      </c>
      <c r="AB122" s="3" t="s">
        <v>114</v>
      </c>
      <c r="AC122" s="3" t="s">
        <v>923</v>
      </c>
      <c r="AD122" s="3" t="s">
        <v>363</v>
      </c>
      <c r="AE122" s="3" t="s">
        <v>1459</v>
      </c>
      <c r="AF122" s="3" t="s">
        <v>1026</v>
      </c>
      <c r="AG122" s="3" t="s">
        <v>116</v>
      </c>
      <c r="AH122" s="3" t="str">
        <f>IF(AND(E122&lt;&gt;"",D122&lt;&gt;""),"COVERED","MISSING")</f>
        <v>COVERED</v>
      </c>
    </row>
    <row r="123" spans="1:34">
      <c r="A123" s="3" t="s">
        <v>500</v>
      </c>
      <c r="B123" s="3" t="s">
        <v>1622</v>
      </c>
      <c r="C123" s="3" t="s">
        <v>1623</v>
      </c>
      <c r="D123" s="3" t="s">
        <v>119</v>
      </c>
      <c r="E123" s="3" t="s">
        <v>120</v>
      </c>
      <c r="F123" s="3" t="s">
        <v>1624</v>
      </c>
      <c r="G123" s="3" t="s">
        <v>179</v>
      </c>
      <c r="H123" s="3" t="s">
        <v>162</v>
      </c>
      <c r="I123" s="3" t="s">
        <v>163</v>
      </c>
      <c r="J123" s="3" t="s">
        <v>1596</v>
      </c>
      <c r="K123" s="3" t="s">
        <v>1597</v>
      </c>
      <c r="L123" s="3" t="s">
        <v>258</v>
      </c>
      <c r="M123" s="3" t="s">
        <v>80</v>
      </c>
      <c r="N123" s="3" t="s">
        <v>105</v>
      </c>
      <c r="O123" s="3" t="s">
        <v>106</v>
      </c>
      <c r="P123" s="3"/>
      <c r="Q123" s="3"/>
      <c r="R123" s="3" t="s">
        <v>1625</v>
      </c>
      <c r="S123" s="3" t="s">
        <v>1626</v>
      </c>
      <c r="T123" s="3" t="s">
        <v>1627</v>
      </c>
      <c r="U123" s="3" t="s">
        <v>84</v>
      </c>
      <c r="V123" s="3" t="s">
        <v>85</v>
      </c>
      <c r="W123" s="3" t="s">
        <v>1628</v>
      </c>
      <c r="X123" s="3" t="s">
        <v>1629</v>
      </c>
      <c r="Y123" s="3" t="s">
        <v>1630</v>
      </c>
      <c r="Z123" s="3" t="s">
        <v>1631</v>
      </c>
      <c r="AA123" s="3" t="s">
        <v>85</v>
      </c>
      <c r="AB123" s="3" t="s">
        <v>114</v>
      </c>
      <c r="AC123" s="3" t="s">
        <v>923</v>
      </c>
      <c r="AD123" s="3" t="s">
        <v>363</v>
      </c>
      <c r="AE123" s="3" t="s">
        <v>174</v>
      </c>
      <c r="AF123" s="3" t="s">
        <v>1026</v>
      </c>
      <c r="AG123" s="3" t="s">
        <v>116</v>
      </c>
      <c r="AH123" s="3" t="str">
        <f>IF(AND(E123&lt;&gt;"",D123&lt;&gt;""),"COVERED","MISSING")</f>
        <v>COVERED</v>
      </c>
    </row>
    <row r="124" spans="1:34">
      <c r="A124" s="3" t="s">
        <v>500</v>
      </c>
      <c r="B124" s="3" t="s">
        <v>1632</v>
      </c>
      <c r="C124" s="3" t="s">
        <v>673</v>
      </c>
      <c r="D124" s="3" t="s">
        <v>119</v>
      </c>
      <c r="E124" s="3" t="s">
        <v>120</v>
      </c>
      <c r="F124" s="3" t="s">
        <v>1633</v>
      </c>
      <c r="G124" s="3" t="s">
        <v>596</v>
      </c>
      <c r="H124" s="3" t="s">
        <v>512</v>
      </c>
      <c r="I124" s="3" t="s">
        <v>597</v>
      </c>
      <c r="J124" s="3" t="s">
        <v>1547</v>
      </c>
      <c r="K124" s="3" t="s">
        <v>1597</v>
      </c>
      <c r="L124" s="3" t="s">
        <v>258</v>
      </c>
      <c r="M124" s="3" t="s">
        <v>80</v>
      </c>
      <c r="N124" s="3" t="s">
        <v>258</v>
      </c>
      <c r="O124" s="3" t="s">
        <v>106</v>
      </c>
      <c r="P124" s="3"/>
      <c r="Q124" s="3"/>
      <c r="R124" s="3" t="s">
        <v>1634</v>
      </c>
      <c r="S124" s="3" t="s">
        <v>1635</v>
      </c>
      <c r="T124" s="3" t="s">
        <v>1636</v>
      </c>
      <c r="U124" s="3" t="s">
        <v>84</v>
      </c>
      <c r="V124" s="3" t="s">
        <v>85</v>
      </c>
      <c r="W124" s="3" t="s">
        <v>1637</v>
      </c>
      <c r="X124" s="3" t="s">
        <v>1638</v>
      </c>
      <c r="Y124" s="3" t="s">
        <v>1639</v>
      </c>
      <c r="Z124" s="3" t="s">
        <v>1640</v>
      </c>
      <c r="AA124" s="3" t="s">
        <v>85</v>
      </c>
      <c r="AB124" s="3" t="s">
        <v>267</v>
      </c>
      <c r="AC124" s="3" t="s">
        <v>923</v>
      </c>
      <c r="AD124" s="3" t="s">
        <v>363</v>
      </c>
      <c r="AE124" s="3" t="s">
        <v>174</v>
      </c>
      <c r="AF124" s="3" t="s">
        <v>1554</v>
      </c>
      <c r="AG124" s="3" t="s">
        <v>116</v>
      </c>
      <c r="AH124" s="3" t="str">
        <f>IF(AND(E124&lt;&gt;"",D124&lt;&gt;""),"COVERED","MISSING")</f>
        <v>COVERED</v>
      </c>
    </row>
    <row r="125" spans="1:34">
      <c r="A125" s="3" t="s">
        <v>500</v>
      </c>
      <c r="B125" s="3" t="s">
        <v>1641</v>
      </c>
      <c r="C125" s="3" t="s">
        <v>1642</v>
      </c>
      <c r="D125" s="3" t="s">
        <v>119</v>
      </c>
      <c r="E125" s="3" t="s">
        <v>120</v>
      </c>
      <c r="F125" s="3" t="s">
        <v>1643</v>
      </c>
      <c r="G125" s="3" t="s">
        <v>1644</v>
      </c>
      <c r="H125" s="3" t="s">
        <v>676</v>
      </c>
      <c r="I125" s="3" t="s">
        <v>163</v>
      </c>
      <c r="J125" s="3" t="s">
        <v>721</v>
      </c>
      <c r="K125" s="3" t="s">
        <v>1597</v>
      </c>
      <c r="L125" s="3" t="s">
        <v>258</v>
      </c>
      <c r="M125" s="3" t="s">
        <v>80</v>
      </c>
      <c r="N125" s="3" t="s">
        <v>258</v>
      </c>
      <c r="O125" s="3" t="s">
        <v>106</v>
      </c>
      <c r="P125" s="3"/>
      <c r="Q125" s="3"/>
      <c r="R125" s="3" t="s">
        <v>1537</v>
      </c>
      <c r="S125" s="3" t="s">
        <v>1645</v>
      </c>
      <c r="T125" s="3" t="s">
        <v>1646</v>
      </c>
      <c r="U125" s="3" t="s">
        <v>84</v>
      </c>
      <c r="V125" s="3" t="s">
        <v>85</v>
      </c>
      <c r="W125" s="3" t="s">
        <v>1304</v>
      </c>
      <c r="X125" s="3" t="s">
        <v>1647</v>
      </c>
      <c r="Y125" s="3" t="s">
        <v>1648</v>
      </c>
      <c r="Z125" s="3" t="s">
        <v>1649</v>
      </c>
      <c r="AA125" s="3" t="s">
        <v>266</v>
      </c>
      <c r="AB125" s="3" t="s">
        <v>267</v>
      </c>
      <c r="AC125" s="3" t="s">
        <v>923</v>
      </c>
      <c r="AD125" s="3" t="s">
        <v>457</v>
      </c>
      <c r="AE125" s="3" t="s">
        <v>174</v>
      </c>
      <c r="AF125" s="3" t="s">
        <v>1435</v>
      </c>
      <c r="AG125" s="3" t="s">
        <v>116</v>
      </c>
      <c r="AH125" s="3" t="str">
        <f>IF(AND(E125&lt;&gt;"",D125&lt;&gt;""),"COVERED","MISSING")</f>
        <v>COVERED</v>
      </c>
    </row>
    <row r="126" spans="1:34">
      <c r="A126" s="3" t="s">
        <v>500</v>
      </c>
      <c r="B126" s="3" t="s">
        <v>1650</v>
      </c>
      <c r="C126" s="3" t="s">
        <v>1651</v>
      </c>
      <c r="D126" s="3" t="s">
        <v>119</v>
      </c>
      <c r="E126" s="3" t="s">
        <v>120</v>
      </c>
      <c r="F126" s="3" t="s">
        <v>1652</v>
      </c>
      <c r="G126" s="3" t="s">
        <v>1653</v>
      </c>
      <c r="H126" s="3" t="s">
        <v>162</v>
      </c>
      <c r="I126" s="3" t="s">
        <v>163</v>
      </c>
      <c r="J126" s="3" t="s">
        <v>721</v>
      </c>
      <c r="K126" s="3" t="s">
        <v>1597</v>
      </c>
      <c r="L126" s="3" t="s">
        <v>258</v>
      </c>
      <c r="M126" s="3" t="s">
        <v>80</v>
      </c>
      <c r="N126" s="3" t="s">
        <v>258</v>
      </c>
      <c r="O126" s="3" t="s">
        <v>106</v>
      </c>
      <c r="P126" s="3"/>
      <c r="Q126" s="3"/>
      <c r="R126" s="3" t="s">
        <v>1654</v>
      </c>
      <c r="S126" s="3" t="s">
        <v>1655</v>
      </c>
      <c r="T126" s="3" t="s">
        <v>1559</v>
      </c>
      <c r="U126" s="3" t="s">
        <v>84</v>
      </c>
      <c r="V126" s="3" t="s">
        <v>85</v>
      </c>
      <c r="W126" s="3" t="s">
        <v>1656</v>
      </c>
      <c r="X126" s="3" t="s">
        <v>1657</v>
      </c>
      <c r="Y126" s="3" t="s">
        <v>1658</v>
      </c>
      <c r="Z126" s="3" t="s">
        <v>1659</v>
      </c>
      <c r="AA126" s="3" t="s">
        <v>218</v>
      </c>
      <c r="AB126" s="3" t="s">
        <v>267</v>
      </c>
      <c r="AC126" s="3" t="s">
        <v>923</v>
      </c>
      <c r="AD126" s="3" t="s">
        <v>457</v>
      </c>
      <c r="AE126" s="3" t="s">
        <v>174</v>
      </c>
      <c r="AF126" s="3" t="s">
        <v>1435</v>
      </c>
      <c r="AG126" s="3" t="s">
        <v>116</v>
      </c>
      <c r="AH126" s="3" t="str">
        <f>IF(AND(E126&lt;&gt;"",D126&lt;&gt;""),"COVERED","MISSING")</f>
        <v>COVERED</v>
      </c>
    </row>
    <row r="127" spans="1:34">
      <c r="A127" s="3" t="s">
        <v>500</v>
      </c>
      <c r="B127" s="3" t="s">
        <v>1660</v>
      </c>
      <c r="C127" s="3" t="s">
        <v>1661</v>
      </c>
      <c r="D127" s="3" t="s">
        <v>119</v>
      </c>
      <c r="E127" s="3" t="s">
        <v>120</v>
      </c>
      <c r="F127" s="3" t="s">
        <v>1662</v>
      </c>
      <c r="G127" s="3" t="s">
        <v>1663</v>
      </c>
      <c r="H127" s="3" t="s">
        <v>162</v>
      </c>
      <c r="I127" s="3" t="s">
        <v>163</v>
      </c>
      <c r="J127" s="3" t="s">
        <v>1664</v>
      </c>
      <c r="K127" s="3" t="s">
        <v>1665</v>
      </c>
      <c r="L127" s="3" t="s">
        <v>354</v>
      </c>
      <c r="M127" s="3" t="s">
        <v>80</v>
      </c>
      <c r="N127" s="3" t="s">
        <v>105</v>
      </c>
      <c r="O127" s="3" t="s">
        <v>106</v>
      </c>
      <c r="P127" s="3"/>
      <c r="Q127" s="3"/>
      <c r="R127" s="3" t="s">
        <v>1666</v>
      </c>
      <c r="S127" s="3" t="s">
        <v>1667</v>
      </c>
      <c r="T127" s="3" t="s">
        <v>1668</v>
      </c>
      <c r="U127" s="3" t="s">
        <v>84</v>
      </c>
      <c r="V127" s="3" t="s">
        <v>85</v>
      </c>
      <c r="W127" s="3" t="s">
        <v>1669</v>
      </c>
      <c r="X127" s="3" t="s">
        <v>1670</v>
      </c>
      <c r="Y127" s="3" t="s">
        <v>1671</v>
      </c>
      <c r="Z127" s="3" t="s">
        <v>1672</v>
      </c>
      <c r="AA127" s="3" t="s">
        <v>85</v>
      </c>
      <c r="AB127" s="3" t="s">
        <v>114</v>
      </c>
      <c r="AC127" s="3" t="s">
        <v>456</v>
      </c>
      <c r="AD127" s="3" t="s">
        <v>457</v>
      </c>
      <c r="AE127" s="3" t="s">
        <v>1435</v>
      </c>
      <c r="AF127" s="3" t="s">
        <v>174</v>
      </c>
      <c r="AG127" s="3" t="s">
        <v>116</v>
      </c>
      <c r="AH127" s="3" t="str">
        <f>IF(AND(E127&lt;&gt;"",D127&lt;&gt;""),"COVERED","MISSING")</f>
        <v>COVERED</v>
      </c>
    </row>
    <row r="128" spans="1:34">
      <c r="A128" s="3" t="s">
        <v>500</v>
      </c>
      <c r="B128" s="3" t="s">
        <v>1673</v>
      </c>
      <c r="C128" s="3" t="s">
        <v>1674</v>
      </c>
      <c r="D128" s="3" t="s">
        <v>119</v>
      </c>
      <c r="E128" s="3" t="s">
        <v>120</v>
      </c>
      <c r="F128" s="3" t="s">
        <v>1675</v>
      </c>
      <c r="G128" s="3" t="s">
        <v>1676</v>
      </c>
      <c r="H128" s="3" t="s">
        <v>208</v>
      </c>
      <c r="I128" s="3" t="s">
        <v>209</v>
      </c>
      <c r="J128" s="3" t="s">
        <v>1664</v>
      </c>
      <c r="K128" s="3" t="s">
        <v>1665</v>
      </c>
      <c r="L128" s="3" t="s">
        <v>354</v>
      </c>
      <c r="M128" s="3" t="s">
        <v>80</v>
      </c>
      <c r="N128" s="3" t="s">
        <v>258</v>
      </c>
      <c r="O128" s="3" t="s">
        <v>213</v>
      </c>
      <c r="P128" s="3"/>
      <c r="Q128" s="3"/>
      <c r="R128" s="3" t="s">
        <v>1666</v>
      </c>
      <c r="S128" s="3" t="s">
        <v>1677</v>
      </c>
      <c r="T128" s="3" t="s">
        <v>1668</v>
      </c>
      <c r="U128" s="3" t="s">
        <v>84</v>
      </c>
      <c r="V128" s="3" t="s">
        <v>266</v>
      </c>
      <c r="W128" s="3" t="s">
        <v>1669</v>
      </c>
      <c r="X128" s="3" t="s">
        <v>1678</v>
      </c>
      <c r="Y128" s="3" t="s">
        <v>1679</v>
      </c>
      <c r="Z128" s="3" t="s">
        <v>1680</v>
      </c>
      <c r="AA128" s="3" t="s">
        <v>85</v>
      </c>
      <c r="AB128" s="3" t="s">
        <v>267</v>
      </c>
      <c r="AC128" s="3" t="s">
        <v>456</v>
      </c>
      <c r="AD128" s="3" t="s">
        <v>457</v>
      </c>
      <c r="AE128" s="3" t="s">
        <v>1435</v>
      </c>
      <c r="AF128" s="3" t="s">
        <v>174</v>
      </c>
      <c r="AG128" s="3" t="s">
        <v>116</v>
      </c>
      <c r="AH128" s="3" t="str">
        <f>IF(AND(E128&lt;&gt;"",D128&lt;&gt;""),"COVERED","MISSING")</f>
        <v>COVERED</v>
      </c>
    </row>
    <row r="129" spans="1:34">
      <c r="A129" s="3" t="s">
        <v>500</v>
      </c>
      <c r="B129" s="3" t="s">
        <v>1681</v>
      </c>
      <c r="C129" s="3" t="s">
        <v>1682</v>
      </c>
      <c r="D129" s="3" t="s">
        <v>119</v>
      </c>
      <c r="E129" s="3" t="s">
        <v>120</v>
      </c>
      <c r="F129" s="3" t="s">
        <v>1683</v>
      </c>
      <c r="G129" s="3" t="s">
        <v>1676</v>
      </c>
      <c r="H129" s="3" t="s">
        <v>208</v>
      </c>
      <c r="I129" s="3" t="s">
        <v>209</v>
      </c>
      <c r="J129" s="3" t="s">
        <v>1684</v>
      </c>
      <c r="K129" s="3" t="s">
        <v>1665</v>
      </c>
      <c r="L129" s="3" t="s">
        <v>354</v>
      </c>
      <c r="M129" s="3" t="s">
        <v>80</v>
      </c>
      <c r="N129" s="3" t="s">
        <v>354</v>
      </c>
      <c r="O129" s="3" t="s">
        <v>213</v>
      </c>
      <c r="P129" s="3"/>
      <c r="Q129" s="3"/>
      <c r="R129" s="3" t="s">
        <v>1625</v>
      </c>
      <c r="S129" s="3" t="s">
        <v>1685</v>
      </c>
      <c r="T129" s="3" t="s">
        <v>1668</v>
      </c>
      <c r="U129" s="3" t="s">
        <v>84</v>
      </c>
      <c r="V129" s="3" t="s">
        <v>85</v>
      </c>
      <c r="W129" s="3" t="s">
        <v>1686</v>
      </c>
      <c r="X129" s="3" t="s">
        <v>1223</v>
      </c>
      <c r="Y129" s="3" t="s">
        <v>1687</v>
      </c>
      <c r="Z129" s="3" t="s">
        <v>1688</v>
      </c>
      <c r="AA129" s="3" t="s">
        <v>85</v>
      </c>
      <c r="AB129" s="3" t="s">
        <v>923</v>
      </c>
      <c r="AC129" s="3" t="s">
        <v>456</v>
      </c>
      <c r="AD129" s="3" t="s">
        <v>457</v>
      </c>
      <c r="AE129" s="3" t="s">
        <v>174</v>
      </c>
      <c r="AF129" s="3" t="s">
        <v>1435</v>
      </c>
      <c r="AG129" s="3" t="s">
        <v>116</v>
      </c>
      <c r="AH129" s="3" t="str">
        <f>IF(AND(E129&lt;&gt;"",D129&lt;&gt;""),"COVERED","MISSING")</f>
        <v>COVERED</v>
      </c>
    </row>
    <row r="130" spans="1:34">
      <c r="A130" s="3" t="s">
        <v>500</v>
      </c>
      <c r="B130" s="3" t="s">
        <v>1689</v>
      </c>
      <c r="C130" s="3" t="s">
        <v>525</v>
      </c>
      <c r="D130" s="3" t="s">
        <v>410</v>
      </c>
      <c r="E130" s="3" t="s">
        <v>411</v>
      </c>
      <c r="F130" s="3" t="s">
        <v>1690</v>
      </c>
      <c r="G130" s="3" t="s">
        <v>527</v>
      </c>
      <c r="H130" s="3" t="s">
        <v>528</v>
      </c>
      <c r="I130" s="3" t="s">
        <v>497</v>
      </c>
      <c r="J130" s="3" t="s">
        <v>1691</v>
      </c>
      <c r="K130" s="3" t="s">
        <v>1692</v>
      </c>
      <c r="L130" s="3"/>
      <c r="M130" s="3" t="s">
        <v>80</v>
      </c>
      <c r="N130" s="3"/>
      <c r="O130" s="3"/>
      <c r="P130" s="3"/>
      <c r="Q130" s="3" t="s">
        <v>531</v>
      </c>
      <c r="R130" s="3" t="s">
        <v>532</v>
      </c>
      <c r="S130" s="3" t="s">
        <v>1693</v>
      </c>
      <c r="T130" s="3" t="s">
        <v>1694</v>
      </c>
      <c r="U130" s="3" t="s">
        <v>84</v>
      </c>
      <c r="V130" s="3" t="s">
        <v>85</v>
      </c>
      <c r="W130" s="3" t="s">
        <v>1695</v>
      </c>
      <c r="X130" s="3" t="s">
        <v>1696</v>
      </c>
      <c r="Y130" s="3" t="s">
        <v>1697</v>
      </c>
      <c r="Z130" s="3" t="s">
        <v>1698</v>
      </c>
      <c r="AA130" s="3" t="s">
        <v>85</v>
      </c>
      <c r="AB130" s="3" t="s">
        <v>90</v>
      </c>
      <c r="AC130" s="3" t="s">
        <v>456</v>
      </c>
      <c r="AD130" s="3" t="s">
        <v>423</v>
      </c>
      <c r="AE130" s="3" t="s">
        <v>539</v>
      </c>
      <c r="AF130" s="3" t="s">
        <v>540</v>
      </c>
      <c r="AG130" s="3" t="s">
        <v>424</v>
      </c>
      <c r="AH130" s="3" t="str">
        <f>IF(AND(E130&lt;&gt;"",D130&lt;&gt;""),"COVERED","MISSING")</f>
        <v>COVERED</v>
      </c>
    </row>
    <row r="131" spans="1:34">
      <c r="A131" s="3" t="s">
        <v>500</v>
      </c>
      <c r="B131" s="3" t="s">
        <v>1699</v>
      </c>
      <c r="C131" s="3" t="s">
        <v>71</v>
      </c>
      <c r="D131" s="3" t="s">
        <v>410</v>
      </c>
      <c r="E131" s="3" t="s">
        <v>411</v>
      </c>
      <c r="F131" s="3" t="s">
        <v>1700</v>
      </c>
      <c r="G131" s="3" t="s">
        <v>999</v>
      </c>
      <c r="H131" s="3" t="s">
        <v>162</v>
      </c>
      <c r="I131" s="3" t="s">
        <v>497</v>
      </c>
      <c r="J131" s="3" t="s">
        <v>1691</v>
      </c>
      <c r="K131" s="3" t="s">
        <v>1701</v>
      </c>
      <c r="L131" s="3"/>
      <c r="M131" s="3" t="s">
        <v>80</v>
      </c>
      <c r="N131" s="3"/>
      <c r="O131" s="3"/>
      <c r="P131" s="3"/>
      <c r="Q131" s="3" t="s">
        <v>69</v>
      </c>
      <c r="R131" s="3" t="s">
        <v>1702</v>
      </c>
      <c r="S131" s="3" t="s">
        <v>1703</v>
      </c>
      <c r="T131" s="3" t="s">
        <v>1704</v>
      </c>
      <c r="U131" s="3" t="s">
        <v>84</v>
      </c>
      <c r="V131" s="3" t="s">
        <v>85</v>
      </c>
      <c r="W131" s="3" t="s">
        <v>1705</v>
      </c>
      <c r="X131" s="3" t="s">
        <v>1706</v>
      </c>
      <c r="Y131" s="3" t="s">
        <v>1707</v>
      </c>
      <c r="Z131" s="3" t="s">
        <v>1708</v>
      </c>
      <c r="AA131" s="3" t="s">
        <v>85</v>
      </c>
      <c r="AB131" s="3" t="s">
        <v>114</v>
      </c>
      <c r="AC131" s="3" t="s">
        <v>456</v>
      </c>
      <c r="AD131" s="3" t="s">
        <v>423</v>
      </c>
      <c r="AE131" s="3" t="s">
        <v>174</v>
      </c>
      <c r="AF131" s="3" t="s">
        <v>756</v>
      </c>
      <c r="AG131" s="3" t="s">
        <v>424</v>
      </c>
      <c r="AH131" s="3" t="str">
        <f>IF(AND(E131&lt;&gt;"",D131&lt;&gt;""),"COVERED","MISSING")</f>
        <v>COVERED</v>
      </c>
    </row>
    <row r="132" spans="1:34">
      <c r="A132" s="3" t="s">
        <v>500</v>
      </c>
      <c r="B132" s="3" t="s">
        <v>1709</v>
      </c>
      <c r="C132" s="3" t="s">
        <v>509</v>
      </c>
      <c r="D132" s="3" t="s">
        <v>410</v>
      </c>
      <c r="E132" s="3" t="s">
        <v>411</v>
      </c>
      <c r="F132" s="3" t="s">
        <v>1710</v>
      </c>
      <c r="G132" s="3" t="s">
        <v>1711</v>
      </c>
      <c r="H132" s="3" t="s">
        <v>512</v>
      </c>
      <c r="I132" s="3" t="s">
        <v>497</v>
      </c>
      <c r="J132" s="3" t="s">
        <v>1691</v>
      </c>
      <c r="K132" s="3" t="s">
        <v>1712</v>
      </c>
      <c r="L132" s="3"/>
      <c r="M132" s="3" t="s">
        <v>80</v>
      </c>
      <c r="N132" s="3"/>
      <c r="O132" s="3"/>
      <c r="P132" s="3"/>
      <c r="Q132" s="3" t="s">
        <v>515</v>
      </c>
      <c r="R132" s="3" t="s">
        <v>1713</v>
      </c>
      <c r="S132" s="3" t="s">
        <v>1714</v>
      </c>
      <c r="T132" s="3" t="s">
        <v>1715</v>
      </c>
      <c r="U132" s="3" t="s">
        <v>84</v>
      </c>
      <c r="V132" s="3" t="s">
        <v>85</v>
      </c>
      <c r="W132" s="3" t="s">
        <v>519</v>
      </c>
      <c r="X132" s="3" t="s">
        <v>1716</v>
      </c>
      <c r="Y132" s="3" t="s">
        <v>1717</v>
      </c>
      <c r="Z132" s="3" t="s">
        <v>1718</v>
      </c>
      <c r="AA132" s="3" t="s">
        <v>85</v>
      </c>
      <c r="AB132" s="3" t="s">
        <v>114</v>
      </c>
      <c r="AC132" s="3" t="s">
        <v>456</v>
      </c>
      <c r="AD132" s="3" t="s">
        <v>423</v>
      </c>
      <c r="AE132" s="3" t="s">
        <v>1554</v>
      </c>
      <c r="AF132" s="3" t="s">
        <v>1471</v>
      </c>
      <c r="AG132" s="3" t="s">
        <v>424</v>
      </c>
      <c r="AH132" s="3" t="str">
        <f>IF(AND(E132&lt;&gt;"",D132&lt;&gt;""),"COVERED","MISSING")</f>
        <v>COVERED</v>
      </c>
    </row>
    <row r="133" spans="1:34">
      <c r="A133" s="3" t="s">
        <v>500</v>
      </c>
      <c r="B133" s="3" t="s">
        <v>1719</v>
      </c>
      <c r="C133" s="3" t="s">
        <v>118</v>
      </c>
      <c r="D133" s="3" t="s">
        <v>410</v>
      </c>
      <c r="E133" s="3" t="s">
        <v>411</v>
      </c>
      <c r="F133" s="3" t="s">
        <v>1720</v>
      </c>
      <c r="G133" s="3" t="s">
        <v>100</v>
      </c>
      <c r="H133" s="3" t="s">
        <v>101</v>
      </c>
      <c r="I133" s="3" t="s">
        <v>102</v>
      </c>
      <c r="J133" s="3" t="s">
        <v>1691</v>
      </c>
      <c r="K133" s="3" t="s">
        <v>1701</v>
      </c>
      <c r="L133" s="3"/>
      <c r="M133" s="3" t="s">
        <v>80</v>
      </c>
      <c r="N133" s="3"/>
      <c r="O133" s="3"/>
      <c r="P133" s="3"/>
      <c r="Q133" s="3" t="s">
        <v>69</v>
      </c>
      <c r="R133" s="3" t="s">
        <v>1721</v>
      </c>
      <c r="S133" s="3" t="s">
        <v>1722</v>
      </c>
      <c r="T133" s="3" t="s">
        <v>1723</v>
      </c>
      <c r="U133" s="3" t="s">
        <v>84</v>
      </c>
      <c r="V133" s="3" t="s">
        <v>85</v>
      </c>
      <c r="W133" s="3" t="s">
        <v>1724</v>
      </c>
      <c r="X133" s="3" t="s">
        <v>1725</v>
      </c>
      <c r="Y133" s="3" t="s">
        <v>1726</v>
      </c>
      <c r="Z133" s="3" t="s">
        <v>1727</v>
      </c>
      <c r="AA133" s="3" t="s">
        <v>85</v>
      </c>
      <c r="AB133" s="3" t="s">
        <v>267</v>
      </c>
      <c r="AC133" s="3" t="s">
        <v>456</v>
      </c>
      <c r="AD133" s="3" t="s">
        <v>423</v>
      </c>
      <c r="AE133" s="3" t="s">
        <v>756</v>
      </c>
      <c r="AF133" s="3" t="s">
        <v>174</v>
      </c>
      <c r="AG133" s="3" t="s">
        <v>424</v>
      </c>
      <c r="AH133" s="3" t="str">
        <f>IF(AND(E133&lt;&gt;"",D133&lt;&gt;""),"COVERED","MISSING")</f>
        <v>COVERED</v>
      </c>
    </row>
    <row r="134" spans="1:34">
      <c r="A134" s="3" t="s">
        <v>500</v>
      </c>
      <c r="B134" s="3" t="s">
        <v>1728</v>
      </c>
      <c r="C134" s="3" t="s">
        <v>1729</v>
      </c>
      <c r="D134" s="3" t="s">
        <v>410</v>
      </c>
      <c r="E134" s="3" t="s">
        <v>411</v>
      </c>
      <c r="F134" s="3" t="s">
        <v>1730</v>
      </c>
      <c r="G134" s="3" t="s">
        <v>100</v>
      </c>
      <c r="H134" s="3" t="s">
        <v>101</v>
      </c>
      <c r="I134" s="3" t="s">
        <v>102</v>
      </c>
      <c r="J134" s="3" t="s">
        <v>1691</v>
      </c>
      <c r="K134" s="3" t="s">
        <v>1701</v>
      </c>
      <c r="L134" s="3"/>
      <c r="M134" s="3" t="s">
        <v>80</v>
      </c>
      <c r="N134" s="3"/>
      <c r="O134" s="3"/>
      <c r="P134" s="3"/>
      <c r="Q134" s="3" t="s">
        <v>69</v>
      </c>
      <c r="R134" s="3" t="s">
        <v>1731</v>
      </c>
      <c r="S134" s="3" t="s">
        <v>1732</v>
      </c>
      <c r="T134" s="3" t="s">
        <v>1733</v>
      </c>
      <c r="U134" s="3" t="s">
        <v>84</v>
      </c>
      <c r="V134" s="3" t="s">
        <v>85</v>
      </c>
      <c r="W134" s="3" t="s">
        <v>1734</v>
      </c>
      <c r="X134" s="3" t="s">
        <v>1735</v>
      </c>
      <c r="Y134" s="3" t="s">
        <v>1736</v>
      </c>
      <c r="Z134" s="3" t="s">
        <v>1737</v>
      </c>
      <c r="AA134" s="3" t="s">
        <v>266</v>
      </c>
      <c r="AB134" s="3" t="s">
        <v>267</v>
      </c>
      <c r="AC134" s="3" t="s">
        <v>456</v>
      </c>
      <c r="AD134" s="3" t="s">
        <v>423</v>
      </c>
      <c r="AE134" s="3" t="s">
        <v>174</v>
      </c>
      <c r="AF134" s="3" t="s">
        <v>756</v>
      </c>
      <c r="AG134" s="3" t="s">
        <v>424</v>
      </c>
      <c r="AH134" s="3" t="str">
        <f>IF(AND(E134&lt;&gt;"",D134&lt;&gt;""),"COVERED","MISSING")</f>
        <v>COVERED</v>
      </c>
    </row>
  </sheetData>
  <conditionalFormatting sqref="L2:L134">
    <cfRule type="expression" dxfId="24" priority="1">
      <formula>$L2="Tier 1"</formula>
    </cfRule>
    <cfRule type="expression" dxfId="23" priority="2">
      <formula>$L2="Tier 2"</formula>
    </cfRule>
    <cfRule type="expression" dxfId="22" priority="3">
      <formula>$L2="Tier 3"</formula>
    </cfRule>
    <cfRule type="expression" dxfId="21" priority="4">
      <formula>$L2="Tier 4"</formula>
    </cfRule>
  </conditionalFormatting>
  <conditionalFormatting sqref="AH2:AH134">
    <cfRule type="expression" dxfId="20" priority="5">
      <formula>$AH2="MISSING"</formula>
    </cfRule>
    <cfRule type="expression" dxfId="19" priority="6">
      <formula>$AH2="COVERED"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3"/>
  <sheetViews>
    <sheetView topLeftCell="D1" zoomScaleNormal="100" zoomScaleSheetLayoutView="100" workbookViewId="0">
      <selection activeCell="G6" sqref="G6"/>
    </sheetView>
  </sheetViews>
  <sheetFormatPr defaultRowHeight="15"/>
  <cols>
    <col min="1" max="1" width="10" customWidth="1"/>
    <col min="2" max="2" width="32" customWidth="1"/>
    <col min="3" max="3" width="20" customWidth="1"/>
    <col min="4" max="4" width="24" customWidth="1"/>
    <col min="5" max="5" width="16" customWidth="1"/>
    <col min="6" max="6" width="36.375" customWidth="1"/>
    <col min="7" max="7" width="22" customWidth="1"/>
    <col min="8" max="8" width="20" customWidth="1"/>
    <col min="9" max="9" width="16" customWidth="1"/>
    <col min="10" max="10" width="60" customWidth="1"/>
  </cols>
  <sheetData>
    <row r="1" spans="1:10">
      <c r="A1" s="4" t="s">
        <v>36</v>
      </c>
      <c r="B1" s="4" t="s">
        <v>37</v>
      </c>
      <c r="C1" s="4" t="s">
        <v>1738</v>
      </c>
      <c r="D1" s="4" t="s">
        <v>43</v>
      </c>
      <c r="E1" s="4" t="s">
        <v>1739</v>
      </c>
      <c r="F1" s="4" t="s">
        <v>1740</v>
      </c>
      <c r="G1" s="4" t="s">
        <v>1741</v>
      </c>
      <c r="H1" s="4" t="s">
        <v>1742</v>
      </c>
      <c r="I1" s="4" t="s">
        <v>35</v>
      </c>
      <c r="J1" s="4" t="s">
        <v>1743</v>
      </c>
    </row>
    <row r="2" spans="1:10">
      <c r="A2" s="1" t="s">
        <v>70</v>
      </c>
      <c r="B2" s="1" t="s">
        <v>71</v>
      </c>
      <c r="C2" s="1" t="s">
        <v>69</v>
      </c>
      <c r="D2" s="1" t="s">
        <v>77</v>
      </c>
      <c r="E2" s="1" t="s">
        <v>1744</v>
      </c>
      <c r="F2" s="1" t="s">
        <v>72</v>
      </c>
      <c r="G2" s="1" t="s">
        <v>1745</v>
      </c>
      <c r="H2" s="1"/>
      <c r="I2" s="1" t="s">
        <v>69</v>
      </c>
      <c r="J2" s="1" t="s">
        <v>1746</v>
      </c>
    </row>
    <row r="3" spans="1:10">
      <c r="A3" s="1" t="s">
        <v>95</v>
      </c>
      <c r="B3" s="1" t="s">
        <v>96</v>
      </c>
      <c r="C3" s="1" t="s">
        <v>69</v>
      </c>
      <c r="D3" s="1" t="s">
        <v>102</v>
      </c>
      <c r="E3" s="1" t="s">
        <v>104</v>
      </c>
      <c r="F3" s="1" t="s">
        <v>1747</v>
      </c>
      <c r="G3" s="1" t="s">
        <v>84</v>
      </c>
      <c r="H3" s="1"/>
      <c r="I3" s="1" t="s">
        <v>69</v>
      </c>
      <c r="J3" s="1" t="s">
        <v>1748</v>
      </c>
    </row>
    <row r="4" spans="1:10">
      <c r="A4" s="1" t="s">
        <v>95</v>
      </c>
      <c r="B4" s="1" t="s">
        <v>96</v>
      </c>
      <c r="C4" s="1" t="s">
        <v>1749</v>
      </c>
      <c r="D4" s="1" t="s">
        <v>102</v>
      </c>
      <c r="E4" s="1" t="s">
        <v>105</v>
      </c>
      <c r="F4" s="1" t="s">
        <v>106</v>
      </c>
      <c r="G4" s="1" t="s">
        <v>84</v>
      </c>
      <c r="H4" s="1"/>
      <c r="I4" s="1" t="s">
        <v>69</v>
      </c>
      <c r="J4" s="1" t="s">
        <v>1750</v>
      </c>
    </row>
    <row r="5" spans="1:10">
      <c r="A5" s="1" t="s">
        <v>95</v>
      </c>
      <c r="B5" s="1" t="s">
        <v>96</v>
      </c>
      <c r="C5" s="1" t="s">
        <v>1751</v>
      </c>
      <c r="D5" s="1" t="s">
        <v>102</v>
      </c>
      <c r="E5" s="1" t="s">
        <v>104</v>
      </c>
      <c r="F5" s="1" t="s">
        <v>1752</v>
      </c>
      <c r="G5" s="1" t="s">
        <v>84</v>
      </c>
      <c r="H5" s="1"/>
      <c r="I5" s="1" t="s">
        <v>69</v>
      </c>
      <c r="J5" s="1" t="s">
        <v>1753</v>
      </c>
    </row>
    <row r="6" spans="1:10">
      <c r="A6" s="1" t="s">
        <v>117</v>
      </c>
      <c r="B6" s="1" t="s">
        <v>118</v>
      </c>
      <c r="C6" s="1" t="s">
        <v>69</v>
      </c>
      <c r="D6" s="1" t="s">
        <v>102</v>
      </c>
      <c r="E6" s="1" t="s">
        <v>104</v>
      </c>
      <c r="F6" s="1" t="s">
        <v>1747</v>
      </c>
      <c r="G6" s="1" t="s">
        <v>84</v>
      </c>
      <c r="H6" s="1"/>
      <c r="I6" s="1" t="s">
        <v>69</v>
      </c>
      <c r="J6" s="1" t="s">
        <v>1748</v>
      </c>
    </row>
    <row r="7" spans="1:10">
      <c r="A7" s="1" t="s">
        <v>117</v>
      </c>
      <c r="B7" s="1" t="s">
        <v>118</v>
      </c>
      <c r="C7" s="1" t="s">
        <v>1749</v>
      </c>
      <c r="D7" s="1" t="s">
        <v>102</v>
      </c>
      <c r="E7" s="1" t="s">
        <v>105</v>
      </c>
      <c r="F7" s="1" t="s">
        <v>106</v>
      </c>
      <c r="G7" s="1" t="s">
        <v>84</v>
      </c>
      <c r="H7" s="1"/>
      <c r="I7" s="1" t="s">
        <v>69</v>
      </c>
      <c r="J7" s="1" t="s">
        <v>1750</v>
      </c>
    </row>
    <row r="8" spans="1:10">
      <c r="A8" s="1" t="s">
        <v>117</v>
      </c>
      <c r="B8" s="1" t="s">
        <v>118</v>
      </c>
      <c r="C8" s="1" t="s">
        <v>1751</v>
      </c>
      <c r="D8" s="1" t="s">
        <v>102</v>
      </c>
      <c r="E8" s="1" t="s">
        <v>104</v>
      </c>
      <c r="F8" s="1" t="s">
        <v>1752</v>
      </c>
      <c r="G8" s="1" t="s">
        <v>84</v>
      </c>
      <c r="H8" s="1"/>
      <c r="I8" s="1" t="s">
        <v>69</v>
      </c>
      <c r="J8" s="1" t="s">
        <v>1753</v>
      </c>
    </row>
    <row r="9" spans="1:10">
      <c r="A9" s="1" t="s">
        <v>132</v>
      </c>
      <c r="B9" s="1" t="s">
        <v>133</v>
      </c>
      <c r="C9" s="1" t="s">
        <v>69</v>
      </c>
      <c r="D9" s="1" t="s">
        <v>102</v>
      </c>
      <c r="E9" s="1" t="s">
        <v>104</v>
      </c>
      <c r="F9" s="1" t="s">
        <v>1747</v>
      </c>
      <c r="G9" s="1" t="s">
        <v>84</v>
      </c>
      <c r="H9" s="1"/>
      <c r="I9" s="1" t="s">
        <v>69</v>
      </c>
      <c r="J9" s="1" t="s">
        <v>1748</v>
      </c>
    </row>
    <row r="10" spans="1:10">
      <c r="A10" s="1" t="s">
        <v>132</v>
      </c>
      <c r="B10" s="1" t="s">
        <v>133</v>
      </c>
      <c r="C10" s="1" t="s">
        <v>1749</v>
      </c>
      <c r="D10" s="1" t="s">
        <v>102</v>
      </c>
      <c r="E10" s="1" t="s">
        <v>105</v>
      </c>
      <c r="F10" s="1" t="s">
        <v>106</v>
      </c>
      <c r="G10" s="1" t="s">
        <v>84</v>
      </c>
      <c r="H10" s="1"/>
      <c r="I10" s="1" t="s">
        <v>69</v>
      </c>
      <c r="J10" s="1" t="s">
        <v>1750</v>
      </c>
    </row>
    <row r="11" spans="1:10">
      <c r="A11" s="1" t="s">
        <v>132</v>
      </c>
      <c r="B11" s="1" t="s">
        <v>133</v>
      </c>
      <c r="C11" s="1" t="s">
        <v>1751</v>
      </c>
      <c r="D11" s="1" t="s">
        <v>102</v>
      </c>
      <c r="E11" s="1" t="s">
        <v>104</v>
      </c>
      <c r="F11" s="1" t="s">
        <v>1752</v>
      </c>
      <c r="G11" s="1" t="s">
        <v>84</v>
      </c>
      <c r="H11" s="1"/>
      <c r="I11" s="1" t="s">
        <v>69</v>
      </c>
      <c r="J11" s="1" t="s">
        <v>1753</v>
      </c>
    </row>
    <row r="12" spans="1:10">
      <c r="A12" s="1" t="s">
        <v>144</v>
      </c>
      <c r="B12" s="1" t="s">
        <v>145</v>
      </c>
      <c r="C12" s="1" t="s">
        <v>69</v>
      </c>
      <c r="D12" s="1" t="s">
        <v>102</v>
      </c>
      <c r="E12" s="1" t="s">
        <v>105</v>
      </c>
      <c r="F12" s="1" t="s">
        <v>1747</v>
      </c>
      <c r="G12" s="1" t="s">
        <v>84</v>
      </c>
      <c r="H12" s="1"/>
      <c r="I12" s="1" t="s">
        <v>69</v>
      </c>
      <c r="J12" s="1" t="s">
        <v>1748</v>
      </c>
    </row>
    <row r="13" spans="1:10">
      <c r="A13" s="1" t="s">
        <v>144</v>
      </c>
      <c r="B13" s="1" t="s">
        <v>145</v>
      </c>
      <c r="C13" s="1" t="s">
        <v>1749</v>
      </c>
      <c r="D13" s="1" t="s">
        <v>102</v>
      </c>
      <c r="E13" s="1" t="s">
        <v>105</v>
      </c>
      <c r="F13" s="1" t="s">
        <v>106</v>
      </c>
      <c r="G13" s="1" t="s">
        <v>84</v>
      </c>
      <c r="H13" s="1"/>
      <c r="I13" s="1" t="s">
        <v>69</v>
      </c>
      <c r="J13" s="1" t="s">
        <v>1750</v>
      </c>
    </row>
    <row r="14" spans="1:10">
      <c r="A14" s="1" t="s">
        <v>144</v>
      </c>
      <c r="B14" s="1" t="s">
        <v>145</v>
      </c>
      <c r="C14" s="1" t="s">
        <v>1751</v>
      </c>
      <c r="D14" s="1" t="s">
        <v>102</v>
      </c>
      <c r="E14" s="1" t="s">
        <v>105</v>
      </c>
      <c r="F14" s="1" t="s">
        <v>1752</v>
      </c>
      <c r="G14" s="1" t="s">
        <v>84</v>
      </c>
      <c r="H14" s="1"/>
      <c r="I14" s="1" t="s">
        <v>69</v>
      </c>
      <c r="J14" s="1" t="s">
        <v>1753</v>
      </c>
    </row>
    <row r="15" spans="1:10">
      <c r="A15" s="1" t="s">
        <v>158</v>
      </c>
      <c r="B15" s="1" t="s">
        <v>159</v>
      </c>
      <c r="C15" s="1" t="s">
        <v>69</v>
      </c>
      <c r="D15" s="1" t="s">
        <v>163</v>
      </c>
      <c r="E15" s="1" t="s">
        <v>105</v>
      </c>
      <c r="F15" s="1" t="s">
        <v>1747</v>
      </c>
      <c r="G15" s="1" t="s">
        <v>84</v>
      </c>
      <c r="H15" s="1"/>
      <c r="I15" s="1" t="s">
        <v>69</v>
      </c>
      <c r="J15" s="1" t="s">
        <v>1748</v>
      </c>
    </row>
    <row r="16" spans="1:10">
      <c r="A16" s="1" t="s">
        <v>158</v>
      </c>
      <c r="B16" s="1" t="s">
        <v>159</v>
      </c>
      <c r="C16" s="1" t="s">
        <v>1749</v>
      </c>
      <c r="D16" s="1" t="s">
        <v>163</v>
      </c>
      <c r="E16" s="1" t="s">
        <v>105</v>
      </c>
      <c r="F16" s="1" t="s">
        <v>106</v>
      </c>
      <c r="G16" s="1" t="s">
        <v>84</v>
      </c>
      <c r="H16" s="1"/>
      <c r="I16" s="1" t="s">
        <v>69</v>
      </c>
      <c r="J16" s="1" t="s">
        <v>1750</v>
      </c>
    </row>
    <row r="17" spans="1:10">
      <c r="A17" s="1" t="s">
        <v>158</v>
      </c>
      <c r="B17" s="1" t="s">
        <v>159</v>
      </c>
      <c r="C17" s="1" t="s">
        <v>1751</v>
      </c>
      <c r="D17" s="1" t="s">
        <v>163</v>
      </c>
      <c r="E17" s="1" t="s">
        <v>105</v>
      </c>
      <c r="F17" s="1" t="s">
        <v>1752</v>
      </c>
      <c r="G17" s="1" t="s">
        <v>84</v>
      </c>
      <c r="H17" s="1"/>
      <c r="I17" s="1" t="s">
        <v>69</v>
      </c>
      <c r="J17" s="1" t="s">
        <v>1753</v>
      </c>
    </row>
    <row r="18" spans="1:10">
      <c r="A18" s="1" t="s">
        <v>176</v>
      </c>
      <c r="B18" s="1" t="s">
        <v>177</v>
      </c>
      <c r="C18" s="1" t="s">
        <v>69</v>
      </c>
      <c r="D18" s="1" t="s">
        <v>163</v>
      </c>
      <c r="E18" s="1" t="s">
        <v>105</v>
      </c>
      <c r="F18" s="1" t="s">
        <v>1747</v>
      </c>
      <c r="G18" s="1" t="s">
        <v>84</v>
      </c>
      <c r="H18" s="1"/>
      <c r="I18" s="1" t="s">
        <v>69</v>
      </c>
      <c r="J18" s="1" t="s">
        <v>1748</v>
      </c>
    </row>
    <row r="19" spans="1:10">
      <c r="A19" s="1" t="s">
        <v>176</v>
      </c>
      <c r="B19" s="1" t="s">
        <v>177</v>
      </c>
      <c r="C19" s="1" t="s">
        <v>1749</v>
      </c>
      <c r="D19" s="1" t="s">
        <v>163</v>
      </c>
      <c r="E19" s="1" t="s">
        <v>104</v>
      </c>
      <c r="F19" s="1" t="s">
        <v>106</v>
      </c>
      <c r="G19" s="1" t="s">
        <v>84</v>
      </c>
      <c r="H19" s="1"/>
      <c r="I19" s="1" t="s">
        <v>69</v>
      </c>
      <c r="J19" s="1" t="s">
        <v>1750</v>
      </c>
    </row>
    <row r="20" spans="1:10">
      <c r="A20" s="1" t="s">
        <v>176</v>
      </c>
      <c r="B20" s="1" t="s">
        <v>177</v>
      </c>
      <c r="C20" s="1" t="s">
        <v>1751</v>
      </c>
      <c r="D20" s="1" t="s">
        <v>163</v>
      </c>
      <c r="E20" s="1" t="s">
        <v>105</v>
      </c>
      <c r="F20" s="1" t="s">
        <v>1752</v>
      </c>
      <c r="G20" s="1" t="s">
        <v>84</v>
      </c>
      <c r="H20" s="1"/>
      <c r="I20" s="1" t="s">
        <v>69</v>
      </c>
      <c r="J20" s="1" t="s">
        <v>1753</v>
      </c>
    </row>
    <row r="21" spans="1:10">
      <c r="A21" s="1" t="s">
        <v>192</v>
      </c>
      <c r="B21" s="1" t="s">
        <v>193</v>
      </c>
      <c r="C21" s="1" t="s">
        <v>69</v>
      </c>
      <c r="D21" s="1" t="s">
        <v>163</v>
      </c>
      <c r="E21" s="1" t="s">
        <v>105</v>
      </c>
      <c r="F21" s="1" t="s">
        <v>1747</v>
      </c>
      <c r="G21" s="1" t="s">
        <v>84</v>
      </c>
      <c r="H21" s="1"/>
      <c r="I21" s="1" t="s">
        <v>69</v>
      </c>
      <c r="J21" s="1" t="s">
        <v>1748</v>
      </c>
    </row>
    <row r="22" spans="1:10">
      <c r="A22" s="1" t="s">
        <v>192</v>
      </c>
      <c r="B22" s="1" t="s">
        <v>193</v>
      </c>
      <c r="C22" s="1" t="s">
        <v>1749</v>
      </c>
      <c r="D22" s="1" t="s">
        <v>163</v>
      </c>
      <c r="E22" s="1" t="s">
        <v>104</v>
      </c>
      <c r="F22" s="1" t="s">
        <v>106</v>
      </c>
      <c r="G22" s="1" t="s">
        <v>84</v>
      </c>
      <c r="H22" s="1"/>
      <c r="I22" s="1" t="s">
        <v>69</v>
      </c>
      <c r="J22" s="1" t="s">
        <v>1750</v>
      </c>
    </row>
    <row r="23" spans="1:10">
      <c r="A23" s="1" t="s">
        <v>192</v>
      </c>
      <c r="B23" s="1" t="s">
        <v>193</v>
      </c>
      <c r="C23" s="1" t="s">
        <v>1751</v>
      </c>
      <c r="D23" s="1" t="s">
        <v>163</v>
      </c>
      <c r="E23" s="1" t="s">
        <v>105</v>
      </c>
      <c r="F23" s="1" t="s">
        <v>1752</v>
      </c>
      <c r="G23" s="1" t="s">
        <v>84</v>
      </c>
      <c r="H23" s="1"/>
      <c r="I23" s="1" t="s">
        <v>69</v>
      </c>
      <c r="J23" s="1" t="s">
        <v>1753</v>
      </c>
    </row>
    <row r="24" spans="1:10">
      <c r="A24" s="1" t="s">
        <v>204</v>
      </c>
      <c r="B24" s="1" t="s">
        <v>205</v>
      </c>
      <c r="C24" s="1" t="s">
        <v>69</v>
      </c>
      <c r="D24" s="1" t="s">
        <v>209</v>
      </c>
      <c r="E24" s="1" t="s">
        <v>104</v>
      </c>
      <c r="F24" s="1" t="s">
        <v>1747</v>
      </c>
      <c r="G24" s="1" t="s">
        <v>212</v>
      </c>
      <c r="H24" s="1"/>
      <c r="I24" s="1" t="s">
        <v>69</v>
      </c>
      <c r="J24" s="1" t="s">
        <v>1748</v>
      </c>
    </row>
    <row r="25" spans="1:10">
      <c r="A25" s="1" t="s">
        <v>204</v>
      </c>
      <c r="B25" s="1" t="s">
        <v>205</v>
      </c>
      <c r="C25" s="1" t="s">
        <v>1749</v>
      </c>
      <c r="D25" s="1" t="s">
        <v>209</v>
      </c>
      <c r="E25" s="1" t="s">
        <v>104</v>
      </c>
      <c r="F25" s="1" t="s">
        <v>213</v>
      </c>
      <c r="G25" s="1" t="s">
        <v>212</v>
      </c>
      <c r="H25" s="1"/>
      <c r="I25" s="1" t="s">
        <v>69</v>
      </c>
      <c r="J25" s="1" t="s">
        <v>1750</v>
      </c>
    </row>
    <row r="26" spans="1:10">
      <c r="A26" s="1" t="s">
        <v>204</v>
      </c>
      <c r="B26" s="1" t="s">
        <v>205</v>
      </c>
      <c r="C26" s="1" t="s">
        <v>1751</v>
      </c>
      <c r="D26" s="1" t="s">
        <v>209</v>
      </c>
      <c r="E26" s="1" t="s">
        <v>104</v>
      </c>
      <c r="F26" s="1" t="s">
        <v>1752</v>
      </c>
      <c r="G26" s="1" t="s">
        <v>84</v>
      </c>
      <c r="H26" s="1"/>
      <c r="I26" s="1" t="s">
        <v>69</v>
      </c>
      <c r="J26" s="1" t="s">
        <v>1753</v>
      </c>
    </row>
    <row r="27" spans="1:10">
      <c r="A27" s="1" t="s">
        <v>223</v>
      </c>
      <c r="B27" s="1" t="s">
        <v>224</v>
      </c>
      <c r="C27" s="1" t="s">
        <v>69</v>
      </c>
      <c r="D27" s="1" t="s">
        <v>163</v>
      </c>
      <c r="E27" s="1" t="s">
        <v>104</v>
      </c>
      <c r="F27" s="1" t="s">
        <v>1747</v>
      </c>
      <c r="G27" s="1" t="s">
        <v>84</v>
      </c>
      <c r="H27" s="1"/>
      <c r="I27" s="1" t="s">
        <v>69</v>
      </c>
      <c r="J27" s="1" t="s">
        <v>1748</v>
      </c>
    </row>
    <row r="28" spans="1:10">
      <c r="A28" s="1" t="s">
        <v>223</v>
      </c>
      <c r="B28" s="1" t="s">
        <v>224</v>
      </c>
      <c r="C28" s="1" t="s">
        <v>1749</v>
      </c>
      <c r="D28" s="1" t="s">
        <v>163</v>
      </c>
      <c r="E28" s="1" t="s">
        <v>104</v>
      </c>
      <c r="F28" s="1" t="s">
        <v>106</v>
      </c>
      <c r="G28" s="1" t="s">
        <v>84</v>
      </c>
      <c r="H28" s="1"/>
      <c r="I28" s="1" t="s">
        <v>69</v>
      </c>
      <c r="J28" s="1" t="s">
        <v>1750</v>
      </c>
    </row>
    <row r="29" spans="1:10">
      <c r="A29" s="1" t="s">
        <v>223</v>
      </c>
      <c r="B29" s="1" t="s">
        <v>224</v>
      </c>
      <c r="C29" s="1" t="s">
        <v>1751</v>
      </c>
      <c r="D29" s="1" t="s">
        <v>163</v>
      </c>
      <c r="E29" s="1" t="s">
        <v>104</v>
      </c>
      <c r="F29" s="1" t="s">
        <v>1752</v>
      </c>
      <c r="G29" s="1" t="s">
        <v>84</v>
      </c>
      <c r="H29" s="1"/>
      <c r="I29" s="1" t="s">
        <v>69</v>
      </c>
      <c r="J29" s="1" t="s">
        <v>1753</v>
      </c>
    </row>
    <row r="30" spans="1:10">
      <c r="A30" s="1" t="s">
        <v>238</v>
      </c>
      <c r="B30" s="1" t="s">
        <v>239</v>
      </c>
      <c r="C30" s="1" t="s">
        <v>69</v>
      </c>
      <c r="D30" s="1" t="s">
        <v>163</v>
      </c>
      <c r="E30" s="1" t="s">
        <v>104</v>
      </c>
      <c r="F30" s="1" t="s">
        <v>1747</v>
      </c>
      <c r="G30" s="1" t="s">
        <v>84</v>
      </c>
      <c r="H30" s="1"/>
      <c r="I30" s="1" t="s">
        <v>69</v>
      </c>
      <c r="J30" s="1" t="s">
        <v>1748</v>
      </c>
    </row>
    <row r="31" spans="1:10">
      <c r="A31" s="1" t="s">
        <v>238</v>
      </c>
      <c r="B31" s="1" t="s">
        <v>239</v>
      </c>
      <c r="C31" s="1" t="s">
        <v>1749</v>
      </c>
      <c r="D31" s="1" t="s">
        <v>163</v>
      </c>
      <c r="E31" s="1" t="s">
        <v>104</v>
      </c>
      <c r="F31" s="1" t="s">
        <v>106</v>
      </c>
      <c r="G31" s="1" t="s">
        <v>84</v>
      </c>
      <c r="H31" s="1"/>
      <c r="I31" s="1" t="s">
        <v>69</v>
      </c>
      <c r="J31" s="1" t="s">
        <v>1750</v>
      </c>
    </row>
    <row r="32" spans="1:10">
      <c r="A32" s="1" t="s">
        <v>238</v>
      </c>
      <c r="B32" s="1" t="s">
        <v>239</v>
      </c>
      <c r="C32" s="1" t="s">
        <v>1751</v>
      </c>
      <c r="D32" s="1" t="s">
        <v>163</v>
      </c>
      <c r="E32" s="1" t="s">
        <v>104</v>
      </c>
      <c r="F32" s="1" t="s">
        <v>1752</v>
      </c>
      <c r="G32" s="1" t="s">
        <v>84</v>
      </c>
      <c r="H32" s="1"/>
      <c r="I32" s="1" t="s">
        <v>69</v>
      </c>
      <c r="J32" s="1" t="s">
        <v>1753</v>
      </c>
    </row>
    <row r="33" spans="1:10">
      <c r="A33" s="1" t="s">
        <v>252</v>
      </c>
      <c r="B33" s="1" t="s">
        <v>253</v>
      </c>
      <c r="C33" s="1" t="s">
        <v>69</v>
      </c>
      <c r="D33" s="1" t="s">
        <v>102</v>
      </c>
      <c r="E33" s="1" t="s">
        <v>258</v>
      </c>
      <c r="F33" s="1" t="s">
        <v>1747</v>
      </c>
      <c r="G33" s="1" t="s">
        <v>80</v>
      </c>
      <c r="H33" s="1"/>
      <c r="I33" s="1" t="s">
        <v>69</v>
      </c>
      <c r="J33" s="1" t="s">
        <v>1748</v>
      </c>
    </row>
    <row r="34" spans="1:10">
      <c r="A34" s="1" t="s">
        <v>252</v>
      </c>
      <c r="B34" s="1" t="s">
        <v>253</v>
      </c>
      <c r="C34" s="1" t="s">
        <v>1749</v>
      </c>
      <c r="D34" s="1" t="s">
        <v>102</v>
      </c>
      <c r="E34" s="1" t="s">
        <v>258</v>
      </c>
      <c r="F34" s="1" t="s">
        <v>106</v>
      </c>
      <c r="G34" s="1" t="s">
        <v>212</v>
      </c>
      <c r="H34" s="1"/>
      <c r="I34" s="1" t="s">
        <v>69</v>
      </c>
      <c r="J34" s="1" t="s">
        <v>1750</v>
      </c>
    </row>
    <row r="35" spans="1:10">
      <c r="A35" s="1" t="s">
        <v>252</v>
      </c>
      <c r="B35" s="1" t="s">
        <v>253</v>
      </c>
      <c r="C35" s="1" t="s">
        <v>1751</v>
      </c>
      <c r="D35" s="1" t="s">
        <v>102</v>
      </c>
      <c r="E35" s="1" t="s">
        <v>258</v>
      </c>
      <c r="F35" s="1" t="s">
        <v>1752</v>
      </c>
      <c r="G35" s="1" t="s">
        <v>1754</v>
      </c>
      <c r="H35" s="1"/>
      <c r="I35" s="1" t="s">
        <v>69</v>
      </c>
      <c r="J35" s="1" t="s">
        <v>1753</v>
      </c>
    </row>
    <row r="36" spans="1:10">
      <c r="A36" s="1" t="s">
        <v>269</v>
      </c>
      <c r="B36" s="1" t="s">
        <v>270</v>
      </c>
      <c r="C36" s="1" t="s">
        <v>69</v>
      </c>
      <c r="D36" s="1" t="s">
        <v>163</v>
      </c>
      <c r="E36" s="1" t="s">
        <v>105</v>
      </c>
      <c r="F36" s="1" t="s">
        <v>1747</v>
      </c>
      <c r="G36" s="1" t="s">
        <v>84</v>
      </c>
      <c r="H36" s="1"/>
      <c r="I36" s="1" t="s">
        <v>69</v>
      </c>
      <c r="J36" s="1" t="s">
        <v>1748</v>
      </c>
    </row>
    <row r="37" spans="1:10">
      <c r="A37" s="1" t="s">
        <v>269</v>
      </c>
      <c r="B37" s="1" t="s">
        <v>270</v>
      </c>
      <c r="C37" s="1" t="s">
        <v>1749</v>
      </c>
      <c r="D37" s="1" t="s">
        <v>163</v>
      </c>
      <c r="E37" s="1" t="s">
        <v>105</v>
      </c>
      <c r="F37" s="1" t="s">
        <v>106</v>
      </c>
      <c r="G37" s="1" t="s">
        <v>84</v>
      </c>
      <c r="H37" s="1"/>
      <c r="I37" s="1" t="s">
        <v>69</v>
      </c>
      <c r="J37" s="1" t="s">
        <v>1750</v>
      </c>
    </row>
    <row r="38" spans="1:10">
      <c r="A38" s="1" t="s">
        <v>269</v>
      </c>
      <c r="B38" s="1" t="s">
        <v>270</v>
      </c>
      <c r="C38" s="1" t="s">
        <v>1751</v>
      </c>
      <c r="D38" s="1" t="s">
        <v>163</v>
      </c>
      <c r="E38" s="1" t="s">
        <v>105</v>
      </c>
      <c r="F38" s="1" t="s">
        <v>1752</v>
      </c>
      <c r="G38" s="1" t="s">
        <v>84</v>
      </c>
      <c r="H38" s="1"/>
      <c r="I38" s="1" t="s">
        <v>69</v>
      </c>
      <c r="J38" s="1" t="s">
        <v>1753</v>
      </c>
    </row>
    <row r="39" spans="1:10">
      <c r="A39" s="1" t="s">
        <v>284</v>
      </c>
      <c r="B39" s="1" t="s">
        <v>285</v>
      </c>
      <c r="C39" s="1" t="s">
        <v>69</v>
      </c>
      <c r="D39" s="1" t="s">
        <v>163</v>
      </c>
      <c r="E39" s="1" t="s">
        <v>105</v>
      </c>
      <c r="F39" s="1" t="s">
        <v>1747</v>
      </c>
      <c r="G39" s="1" t="s">
        <v>84</v>
      </c>
      <c r="H39" s="1"/>
      <c r="I39" s="1" t="s">
        <v>69</v>
      </c>
      <c r="J39" s="1" t="s">
        <v>1748</v>
      </c>
    </row>
    <row r="40" spans="1:10">
      <c r="A40" s="1" t="s">
        <v>284</v>
      </c>
      <c r="B40" s="1" t="s">
        <v>285</v>
      </c>
      <c r="C40" s="1" t="s">
        <v>1749</v>
      </c>
      <c r="D40" s="1" t="s">
        <v>163</v>
      </c>
      <c r="E40" s="1" t="s">
        <v>105</v>
      </c>
      <c r="F40" s="1" t="s">
        <v>106</v>
      </c>
      <c r="G40" s="1" t="s">
        <v>84</v>
      </c>
      <c r="H40" s="1"/>
      <c r="I40" s="1" t="s">
        <v>69</v>
      </c>
      <c r="J40" s="1" t="s">
        <v>1750</v>
      </c>
    </row>
    <row r="41" spans="1:10">
      <c r="A41" s="1" t="s">
        <v>284</v>
      </c>
      <c r="B41" s="1" t="s">
        <v>285</v>
      </c>
      <c r="C41" s="1" t="s">
        <v>1751</v>
      </c>
      <c r="D41" s="1" t="s">
        <v>163</v>
      </c>
      <c r="E41" s="1" t="s">
        <v>105</v>
      </c>
      <c r="F41" s="1" t="s">
        <v>1752</v>
      </c>
      <c r="G41" s="1" t="s">
        <v>84</v>
      </c>
      <c r="H41" s="1"/>
      <c r="I41" s="1" t="s">
        <v>69</v>
      </c>
      <c r="J41" s="1" t="s">
        <v>1753</v>
      </c>
    </row>
    <row r="42" spans="1:10">
      <c r="A42" s="1" t="s">
        <v>296</v>
      </c>
      <c r="B42" s="1" t="s">
        <v>297</v>
      </c>
      <c r="C42" s="1" t="s">
        <v>69</v>
      </c>
      <c r="D42" s="1" t="s">
        <v>163</v>
      </c>
      <c r="E42" s="1" t="s">
        <v>105</v>
      </c>
      <c r="F42" s="1" t="s">
        <v>1747</v>
      </c>
      <c r="G42" s="1" t="s">
        <v>84</v>
      </c>
      <c r="H42" s="1"/>
      <c r="I42" s="1" t="s">
        <v>69</v>
      </c>
      <c r="J42" s="1" t="s">
        <v>1748</v>
      </c>
    </row>
    <row r="43" spans="1:10">
      <c r="A43" s="1" t="s">
        <v>296</v>
      </c>
      <c r="B43" s="1" t="s">
        <v>297</v>
      </c>
      <c r="C43" s="1" t="s">
        <v>1749</v>
      </c>
      <c r="D43" s="1" t="s">
        <v>163</v>
      </c>
      <c r="E43" s="1" t="s">
        <v>104</v>
      </c>
      <c r="F43" s="1" t="s">
        <v>106</v>
      </c>
      <c r="G43" s="1" t="s">
        <v>84</v>
      </c>
      <c r="H43" s="1"/>
      <c r="I43" s="1" t="s">
        <v>69</v>
      </c>
      <c r="J43" s="1" t="s">
        <v>1750</v>
      </c>
    </row>
    <row r="44" spans="1:10">
      <c r="A44" s="1" t="s">
        <v>296</v>
      </c>
      <c r="B44" s="1" t="s">
        <v>297</v>
      </c>
      <c r="C44" s="1" t="s">
        <v>1751</v>
      </c>
      <c r="D44" s="1" t="s">
        <v>163</v>
      </c>
      <c r="E44" s="1" t="s">
        <v>105</v>
      </c>
      <c r="F44" s="1" t="s">
        <v>1752</v>
      </c>
      <c r="G44" s="1" t="s">
        <v>84</v>
      </c>
      <c r="H44" s="1"/>
      <c r="I44" s="1" t="s">
        <v>69</v>
      </c>
      <c r="J44" s="1" t="s">
        <v>1753</v>
      </c>
    </row>
    <row r="45" spans="1:10">
      <c r="A45" s="1" t="s">
        <v>308</v>
      </c>
      <c r="B45" s="1" t="s">
        <v>309</v>
      </c>
      <c r="C45" s="1" t="s">
        <v>69</v>
      </c>
      <c r="D45" s="1" t="s">
        <v>209</v>
      </c>
      <c r="E45" s="1" t="s">
        <v>105</v>
      </c>
      <c r="F45" s="1" t="s">
        <v>1747</v>
      </c>
      <c r="G45" s="1" t="s">
        <v>212</v>
      </c>
      <c r="H45" s="1"/>
      <c r="I45" s="1" t="s">
        <v>69</v>
      </c>
      <c r="J45" s="1" t="s">
        <v>1748</v>
      </c>
    </row>
    <row r="46" spans="1:10">
      <c r="A46" s="1" t="s">
        <v>308</v>
      </c>
      <c r="B46" s="1" t="s">
        <v>309</v>
      </c>
      <c r="C46" s="1" t="s">
        <v>1749</v>
      </c>
      <c r="D46" s="1" t="s">
        <v>209</v>
      </c>
      <c r="E46" s="1" t="s">
        <v>258</v>
      </c>
      <c r="F46" s="1" t="s">
        <v>213</v>
      </c>
      <c r="G46" s="1" t="s">
        <v>212</v>
      </c>
      <c r="H46" s="1"/>
      <c r="I46" s="1" t="s">
        <v>69</v>
      </c>
      <c r="J46" s="1" t="s">
        <v>1750</v>
      </c>
    </row>
    <row r="47" spans="1:10">
      <c r="A47" s="1" t="s">
        <v>308</v>
      </c>
      <c r="B47" s="1" t="s">
        <v>309</v>
      </c>
      <c r="C47" s="1" t="s">
        <v>1751</v>
      </c>
      <c r="D47" s="1" t="s">
        <v>209</v>
      </c>
      <c r="E47" s="1" t="s">
        <v>105</v>
      </c>
      <c r="F47" s="1" t="s">
        <v>1752</v>
      </c>
      <c r="G47" s="1" t="s">
        <v>84</v>
      </c>
      <c r="H47" s="1"/>
      <c r="I47" s="1" t="s">
        <v>69</v>
      </c>
      <c r="J47" s="1" t="s">
        <v>1753</v>
      </c>
    </row>
    <row r="48" spans="1:10">
      <c r="A48" s="1" t="s">
        <v>321</v>
      </c>
      <c r="B48" s="1" t="s">
        <v>322</v>
      </c>
      <c r="C48" s="1" t="s">
        <v>69</v>
      </c>
      <c r="D48" s="1" t="s">
        <v>163</v>
      </c>
      <c r="E48" s="1" t="s">
        <v>258</v>
      </c>
      <c r="F48" s="1" t="s">
        <v>1747</v>
      </c>
      <c r="G48" s="1" t="s">
        <v>80</v>
      </c>
      <c r="H48" s="1"/>
      <c r="I48" s="1" t="s">
        <v>69</v>
      </c>
      <c r="J48" s="1" t="s">
        <v>1748</v>
      </c>
    </row>
    <row r="49" spans="1:10">
      <c r="A49" s="1" t="s">
        <v>321</v>
      </c>
      <c r="B49" s="1" t="s">
        <v>322</v>
      </c>
      <c r="C49" s="1" t="s">
        <v>1749</v>
      </c>
      <c r="D49" s="1" t="s">
        <v>163</v>
      </c>
      <c r="E49" s="1" t="s">
        <v>258</v>
      </c>
      <c r="F49" s="1" t="s">
        <v>106</v>
      </c>
      <c r="G49" s="1" t="s">
        <v>212</v>
      </c>
      <c r="H49" s="1"/>
      <c r="I49" s="1" t="s">
        <v>69</v>
      </c>
      <c r="J49" s="1" t="s">
        <v>1750</v>
      </c>
    </row>
    <row r="50" spans="1:10">
      <c r="A50" s="1" t="s">
        <v>321</v>
      </c>
      <c r="B50" s="1" t="s">
        <v>322</v>
      </c>
      <c r="C50" s="1" t="s">
        <v>1751</v>
      </c>
      <c r="D50" s="1" t="s">
        <v>163</v>
      </c>
      <c r="E50" s="1" t="s">
        <v>258</v>
      </c>
      <c r="F50" s="1" t="s">
        <v>1752</v>
      </c>
      <c r="G50" s="1" t="s">
        <v>1754</v>
      </c>
      <c r="H50" s="1"/>
      <c r="I50" s="1" t="s">
        <v>69</v>
      </c>
      <c r="J50" s="1" t="s">
        <v>1753</v>
      </c>
    </row>
    <row r="51" spans="1:10">
      <c r="A51" s="1" t="s">
        <v>336</v>
      </c>
      <c r="B51" s="1" t="s">
        <v>337</v>
      </c>
      <c r="C51" s="1" t="s">
        <v>69</v>
      </c>
      <c r="D51" s="1" t="s">
        <v>102</v>
      </c>
      <c r="E51" s="1" t="s">
        <v>258</v>
      </c>
      <c r="F51" s="1" t="s">
        <v>1747</v>
      </c>
      <c r="G51" s="1" t="s">
        <v>80</v>
      </c>
      <c r="H51" s="1"/>
      <c r="I51" s="1" t="s">
        <v>69</v>
      </c>
      <c r="J51" s="1" t="s">
        <v>1748</v>
      </c>
    </row>
    <row r="52" spans="1:10">
      <c r="A52" s="1" t="s">
        <v>336</v>
      </c>
      <c r="B52" s="1" t="s">
        <v>337</v>
      </c>
      <c r="C52" s="1" t="s">
        <v>1749</v>
      </c>
      <c r="D52" s="1" t="s">
        <v>102</v>
      </c>
      <c r="E52" s="1" t="s">
        <v>258</v>
      </c>
      <c r="F52" s="1" t="s">
        <v>106</v>
      </c>
      <c r="G52" s="1" t="s">
        <v>212</v>
      </c>
      <c r="H52" s="1"/>
      <c r="I52" s="1" t="s">
        <v>69</v>
      </c>
      <c r="J52" s="1" t="s">
        <v>1750</v>
      </c>
    </row>
    <row r="53" spans="1:10">
      <c r="A53" s="1" t="s">
        <v>336</v>
      </c>
      <c r="B53" s="1" t="s">
        <v>337</v>
      </c>
      <c r="C53" s="1" t="s">
        <v>1751</v>
      </c>
      <c r="D53" s="1" t="s">
        <v>102</v>
      </c>
      <c r="E53" s="1" t="s">
        <v>258</v>
      </c>
      <c r="F53" s="1" t="s">
        <v>1752</v>
      </c>
      <c r="G53" s="1" t="s">
        <v>1754</v>
      </c>
      <c r="H53" s="1"/>
      <c r="I53" s="1" t="s">
        <v>69</v>
      </c>
      <c r="J53" s="1" t="s">
        <v>1753</v>
      </c>
    </row>
    <row r="54" spans="1:10">
      <c r="A54" s="1" t="s">
        <v>348</v>
      </c>
      <c r="B54" s="1" t="s">
        <v>349</v>
      </c>
      <c r="C54" s="1" t="s">
        <v>69</v>
      </c>
      <c r="D54" s="1" t="s">
        <v>163</v>
      </c>
      <c r="E54" s="1" t="s">
        <v>354</v>
      </c>
      <c r="F54" s="1" t="s">
        <v>1747</v>
      </c>
      <c r="G54" s="1" t="s">
        <v>80</v>
      </c>
      <c r="H54" s="1"/>
      <c r="I54" s="1" t="s">
        <v>69</v>
      </c>
      <c r="J54" s="1" t="s">
        <v>1748</v>
      </c>
    </row>
    <row r="55" spans="1:10">
      <c r="A55" s="1" t="s">
        <v>348</v>
      </c>
      <c r="B55" s="1" t="s">
        <v>349</v>
      </c>
      <c r="C55" s="1" t="s">
        <v>1749</v>
      </c>
      <c r="D55" s="1" t="s">
        <v>163</v>
      </c>
      <c r="E55" s="1" t="s">
        <v>258</v>
      </c>
      <c r="F55" s="1" t="s">
        <v>106</v>
      </c>
      <c r="G55" s="1" t="s">
        <v>212</v>
      </c>
      <c r="H55" s="1"/>
      <c r="I55" s="1" t="s">
        <v>69</v>
      </c>
      <c r="J55" s="1" t="s">
        <v>1750</v>
      </c>
    </row>
    <row r="56" spans="1:10">
      <c r="A56" s="1" t="s">
        <v>348</v>
      </c>
      <c r="B56" s="1" t="s">
        <v>349</v>
      </c>
      <c r="C56" s="1" t="s">
        <v>1751</v>
      </c>
      <c r="D56" s="1" t="s">
        <v>163</v>
      </c>
      <c r="E56" s="1" t="s">
        <v>354</v>
      </c>
      <c r="F56" s="1" t="s">
        <v>1752</v>
      </c>
      <c r="G56" s="1" t="s">
        <v>1754</v>
      </c>
      <c r="H56" s="1"/>
      <c r="I56" s="1" t="s">
        <v>69</v>
      </c>
      <c r="J56" s="1" t="s">
        <v>1753</v>
      </c>
    </row>
    <row r="57" spans="1:10">
      <c r="A57" s="1" t="s">
        <v>365</v>
      </c>
      <c r="B57" s="1" t="s">
        <v>366</v>
      </c>
      <c r="C57" s="1" t="s">
        <v>69</v>
      </c>
      <c r="D57" s="1" t="s">
        <v>102</v>
      </c>
      <c r="E57" s="1" t="s">
        <v>354</v>
      </c>
      <c r="F57" s="1" t="s">
        <v>1747</v>
      </c>
      <c r="G57" s="1" t="s">
        <v>80</v>
      </c>
      <c r="H57" s="1"/>
      <c r="I57" s="1" t="s">
        <v>69</v>
      </c>
      <c r="J57" s="1" t="s">
        <v>1748</v>
      </c>
    </row>
    <row r="58" spans="1:10">
      <c r="A58" s="1" t="s">
        <v>365</v>
      </c>
      <c r="B58" s="1" t="s">
        <v>366</v>
      </c>
      <c r="C58" s="1" t="s">
        <v>1749</v>
      </c>
      <c r="D58" s="1" t="s">
        <v>102</v>
      </c>
      <c r="E58" s="1" t="s">
        <v>354</v>
      </c>
      <c r="F58" s="1" t="s">
        <v>106</v>
      </c>
      <c r="G58" s="1" t="s">
        <v>212</v>
      </c>
      <c r="H58" s="1"/>
      <c r="I58" s="1" t="s">
        <v>69</v>
      </c>
      <c r="J58" s="1" t="s">
        <v>1750</v>
      </c>
    </row>
    <row r="59" spans="1:10">
      <c r="A59" s="1" t="s">
        <v>365</v>
      </c>
      <c r="B59" s="1" t="s">
        <v>366</v>
      </c>
      <c r="C59" s="1" t="s">
        <v>1751</v>
      </c>
      <c r="D59" s="1" t="s">
        <v>102</v>
      </c>
      <c r="E59" s="1" t="s">
        <v>354</v>
      </c>
      <c r="F59" s="1" t="s">
        <v>1752</v>
      </c>
      <c r="G59" s="1" t="s">
        <v>1754</v>
      </c>
      <c r="H59" s="1"/>
      <c r="I59" s="1" t="s">
        <v>69</v>
      </c>
      <c r="J59" s="1" t="s">
        <v>1753</v>
      </c>
    </row>
    <row r="60" spans="1:10">
      <c r="A60" s="1" t="s">
        <v>378</v>
      </c>
      <c r="B60" s="1" t="s">
        <v>379</v>
      </c>
      <c r="C60" s="1" t="s">
        <v>69</v>
      </c>
      <c r="D60" s="1" t="s">
        <v>209</v>
      </c>
      <c r="E60" s="1" t="s">
        <v>354</v>
      </c>
      <c r="F60" s="1" t="s">
        <v>1747</v>
      </c>
      <c r="G60" s="1" t="s">
        <v>80</v>
      </c>
      <c r="H60" s="1"/>
      <c r="I60" s="1" t="s">
        <v>69</v>
      </c>
      <c r="J60" s="1" t="s">
        <v>1748</v>
      </c>
    </row>
    <row r="61" spans="1:10">
      <c r="A61" s="1" t="s">
        <v>378</v>
      </c>
      <c r="B61" s="1" t="s">
        <v>379</v>
      </c>
      <c r="C61" s="1" t="s">
        <v>1749</v>
      </c>
      <c r="D61" s="1" t="s">
        <v>209</v>
      </c>
      <c r="E61" s="1" t="s">
        <v>354</v>
      </c>
      <c r="F61" s="1" t="s">
        <v>213</v>
      </c>
      <c r="G61" s="1" t="s">
        <v>212</v>
      </c>
      <c r="H61" s="1"/>
      <c r="I61" s="1" t="s">
        <v>69</v>
      </c>
      <c r="J61" s="1" t="s">
        <v>1750</v>
      </c>
    </row>
    <row r="62" spans="1:10">
      <c r="A62" s="1" t="s">
        <v>378</v>
      </c>
      <c r="B62" s="1" t="s">
        <v>379</v>
      </c>
      <c r="C62" s="1" t="s">
        <v>1751</v>
      </c>
      <c r="D62" s="1" t="s">
        <v>209</v>
      </c>
      <c r="E62" s="1" t="s">
        <v>354</v>
      </c>
      <c r="F62" s="1" t="s">
        <v>1752</v>
      </c>
      <c r="G62" s="1" t="s">
        <v>1754</v>
      </c>
      <c r="H62" s="1"/>
      <c r="I62" s="1" t="s">
        <v>69</v>
      </c>
      <c r="J62" s="1" t="s">
        <v>1753</v>
      </c>
    </row>
    <row r="63" spans="1:10">
      <c r="A63" s="1" t="s">
        <v>392</v>
      </c>
      <c r="B63" s="1" t="s">
        <v>393</v>
      </c>
      <c r="C63" s="1" t="s">
        <v>69</v>
      </c>
      <c r="D63" s="1" t="s">
        <v>397</v>
      </c>
      <c r="E63" s="1" t="s">
        <v>258</v>
      </c>
      <c r="F63" s="1" t="s">
        <v>1747</v>
      </c>
      <c r="G63" s="1" t="s">
        <v>80</v>
      </c>
      <c r="H63" s="1"/>
      <c r="I63" s="1" t="s">
        <v>69</v>
      </c>
      <c r="J63" s="1" t="s">
        <v>1748</v>
      </c>
    </row>
    <row r="64" spans="1:10">
      <c r="A64" s="1" t="s">
        <v>392</v>
      </c>
      <c r="B64" s="1" t="s">
        <v>393</v>
      </c>
      <c r="C64" s="1" t="s">
        <v>1749</v>
      </c>
      <c r="D64" s="1" t="s">
        <v>397</v>
      </c>
      <c r="E64" s="1" t="s">
        <v>354</v>
      </c>
      <c r="F64" s="1" t="s">
        <v>106</v>
      </c>
      <c r="G64" s="1" t="s">
        <v>212</v>
      </c>
      <c r="H64" s="1"/>
      <c r="I64" s="1" t="s">
        <v>69</v>
      </c>
      <c r="J64" s="1" t="s">
        <v>1750</v>
      </c>
    </row>
    <row r="65" spans="1:10">
      <c r="A65" s="1" t="s">
        <v>392</v>
      </c>
      <c r="B65" s="1" t="s">
        <v>393</v>
      </c>
      <c r="C65" s="1" t="s">
        <v>1751</v>
      </c>
      <c r="D65" s="1" t="s">
        <v>397</v>
      </c>
      <c r="E65" s="1" t="s">
        <v>258</v>
      </c>
      <c r="F65" s="1" t="s">
        <v>1752</v>
      </c>
      <c r="G65" s="1" t="s">
        <v>1754</v>
      </c>
      <c r="H65" s="1"/>
      <c r="I65" s="1" t="s">
        <v>69</v>
      </c>
      <c r="J65" s="1" t="s">
        <v>1753</v>
      </c>
    </row>
    <row r="66" spans="1:10">
      <c r="A66" s="1" t="s">
        <v>408</v>
      </c>
      <c r="B66" s="1" t="s">
        <v>409</v>
      </c>
      <c r="C66" s="1" t="s">
        <v>69</v>
      </c>
      <c r="D66" s="1" t="s">
        <v>163</v>
      </c>
      <c r="E66" s="1" t="s">
        <v>1755</v>
      </c>
      <c r="F66" s="1" t="s">
        <v>1756</v>
      </c>
      <c r="G66" s="1" t="s">
        <v>80</v>
      </c>
      <c r="H66" s="1"/>
      <c r="I66" s="1" t="s">
        <v>69</v>
      </c>
      <c r="J66" s="1" t="s">
        <v>1757</v>
      </c>
    </row>
    <row r="67" spans="1:10">
      <c r="A67" s="1" t="s">
        <v>425</v>
      </c>
      <c r="B67" s="1" t="s">
        <v>426</v>
      </c>
      <c r="C67" s="1" t="s">
        <v>69</v>
      </c>
      <c r="D67" s="1" t="s">
        <v>397</v>
      </c>
      <c r="E67" s="1" t="s">
        <v>258</v>
      </c>
      <c r="F67" s="1" t="s">
        <v>1747</v>
      </c>
      <c r="G67" s="1" t="s">
        <v>80</v>
      </c>
      <c r="H67" s="1"/>
      <c r="I67" s="1" t="s">
        <v>69</v>
      </c>
      <c r="J67" s="1" t="s">
        <v>1748</v>
      </c>
    </row>
    <row r="68" spans="1:10">
      <c r="A68" s="1" t="s">
        <v>425</v>
      </c>
      <c r="B68" s="1" t="s">
        <v>426</v>
      </c>
      <c r="C68" s="1" t="s">
        <v>1749</v>
      </c>
      <c r="D68" s="1" t="s">
        <v>397</v>
      </c>
      <c r="E68" s="1" t="s">
        <v>354</v>
      </c>
      <c r="F68" s="1" t="s">
        <v>106</v>
      </c>
      <c r="G68" s="1" t="s">
        <v>212</v>
      </c>
      <c r="H68" s="1"/>
      <c r="I68" s="1" t="s">
        <v>69</v>
      </c>
      <c r="J68" s="1" t="s">
        <v>1750</v>
      </c>
    </row>
    <row r="69" spans="1:10">
      <c r="A69" s="1" t="s">
        <v>425</v>
      </c>
      <c r="B69" s="1" t="s">
        <v>426</v>
      </c>
      <c r="C69" s="1" t="s">
        <v>1751</v>
      </c>
      <c r="D69" s="1" t="s">
        <v>397</v>
      </c>
      <c r="E69" s="1" t="s">
        <v>258</v>
      </c>
      <c r="F69" s="1" t="s">
        <v>1752</v>
      </c>
      <c r="G69" s="1" t="s">
        <v>1754</v>
      </c>
      <c r="H69" s="1"/>
      <c r="I69" s="1" t="s">
        <v>69</v>
      </c>
      <c r="J69" s="1" t="s">
        <v>1753</v>
      </c>
    </row>
    <row r="70" spans="1:10">
      <c r="A70" s="1" t="s">
        <v>438</v>
      </c>
      <c r="B70" s="1" t="s">
        <v>439</v>
      </c>
      <c r="C70" s="1" t="s">
        <v>69</v>
      </c>
      <c r="D70" s="1" t="s">
        <v>209</v>
      </c>
      <c r="E70" s="1" t="s">
        <v>440</v>
      </c>
      <c r="F70" s="1" t="s">
        <v>1758</v>
      </c>
      <c r="G70" s="1" t="s">
        <v>80</v>
      </c>
      <c r="H70" s="1"/>
      <c r="I70" s="1" t="s">
        <v>69</v>
      </c>
      <c r="J70" s="1" t="s">
        <v>1759</v>
      </c>
    </row>
    <row r="71" spans="1:10">
      <c r="A71" s="1" t="s">
        <v>461</v>
      </c>
      <c r="B71" s="1" t="s">
        <v>462</v>
      </c>
      <c r="C71" s="1" t="s">
        <v>69</v>
      </c>
      <c r="D71" s="1" t="s">
        <v>466</v>
      </c>
      <c r="E71" s="1" t="s">
        <v>1755</v>
      </c>
      <c r="F71" s="1" t="s">
        <v>1756</v>
      </c>
      <c r="G71" s="1" t="s">
        <v>80</v>
      </c>
      <c r="H71" s="1"/>
      <c r="I71" s="1" t="s">
        <v>69</v>
      </c>
      <c r="J71" s="1" t="s">
        <v>1760</v>
      </c>
    </row>
    <row r="72" spans="1:10">
      <c r="A72" s="1" t="s">
        <v>479</v>
      </c>
      <c r="B72" s="1" t="s">
        <v>480</v>
      </c>
      <c r="C72" s="1" t="s">
        <v>69</v>
      </c>
      <c r="D72" s="1" t="s">
        <v>466</v>
      </c>
      <c r="E72" s="1" t="s">
        <v>1755</v>
      </c>
      <c r="F72" s="1" t="s">
        <v>1756</v>
      </c>
      <c r="G72" s="1" t="s">
        <v>80</v>
      </c>
      <c r="H72" s="1"/>
      <c r="I72" s="1" t="s">
        <v>69</v>
      </c>
      <c r="J72" s="1" t="s">
        <v>1761</v>
      </c>
    </row>
    <row r="73" spans="1:10">
      <c r="A73" s="1" t="s">
        <v>493</v>
      </c>
      <c r="B73" s="1" t="s">
        <v>494</v>
      </c>
      <c r="C73" s="1" t="s">
        <v>69</v>
      </c>
      <c r="D73" s="1" t="s">
        <v>497</v>
      </c>
      <c r="E73" s="1" t="s">
        <v>1755</v>
      </c>
      <c r="F73" s="1" t="s">
        <v>1756</v>
      </c>
      <c r="G73" s="1" t="s">
        <v>80</v>
      </c>
      <c r="H73" s="1"/>
      <c r="I73" s="1" t="s">
        <v>69</v>
      </c>
      <c r="J73" s="1" t="s">
        <v>1762</v>
      </c>
    </row>
    <row r="74" spans="1:10">
      <c r="A74" s="1" t="s">
        <v>508</v>
      </c>
      <c r="B74" s="1" t="s">
        <v>509</v>
      </c>
      <c r="C74" s="1" t="s">
        <v>69</v>
      </c>
      <c r="D74" s="1" t="s">
        <v>497</v>
      </c>
      <c r="E74" s="1" t="s">
        <v>1755</v>
      </c>
      <c r="F74" s="1" t="s">
        <v>1756</v>
      </c>
      <c r="G74" s="1" t="s">
        <v>80</v>
      </c>
      <c r="H74" s="1"/>
      <c r="I74" s="1" t="s">
        <v>69</v>
      </c>
      <c r="J74" s="1" t="s">
        <v>1763</v>
      </c>
    </row>
    <row r="75" spans="1:10">
      <c r="A75" s="1" t="s">
        <v>524</v>
      </c>
      <c r="B75" s="1" t="s">
        <v>525</v>
      </c>
      <c r="C75" s="1" t="s">
        <v>69</v>
      </c>
      <c r="D75" s="1" t="s">
        <v>497</v>
      </c>
      <c r="E75" s="1" t="s">
        <v>1755</v>
      </c>
      <c r="F75" s="1" t="s">
        <v>1756</v>
      </c>
      <c r="G75" s="1" t="s">
        <v>80</v>
      </c>
      <c r="H75" s="1"/>
      <c r="I75" s="1" t="s">
        <v>69</v>
      </c>
      <c r="J75" s="1" t="s">
        <v>1764</v>
      </c>
    </row>
    <row r="76" spans="1:10">
      <c r="A76" s="1" t="s">
        <v>541</v>
      </c>
      <c r="B76" s="1" t="s">
        <v>542</v>
      </c>
      <c r="C76" s="1" t="s">
        <v>515</v>
      </c>
      <c r="D76" s="1" t="s">
        <v>397</v>
      </c>
      <c r="E76" s="1" t="s">
        <v>104</v>
      </c>
      <c r="F76" s="1" t="s">
        <v>1747</v>
      </c>
      <c r="G76" s="1" t="s">
        <v>84</v>
      </c>
      <c r="H76" s="1"/>
      <c r="I76" s="1" t="s">
        <v>515</v>
      </c>
      <c r="J76" s="1" t="s">
        <v>1748</v>
      </c>
    </row>
    <row r="77" spans="1:10">
      <c r="A77" s="1" t="s">
        <v>541</v>
      </c>
      <c r="B77" s="1" t="s">
        <v>542</v>
      </c>
      <c r="C77" s="1" t="s">
        <v>1749</v>
      </c>
      <c r="D77" s="1" t="s">
        <v>397</v>
      </c>
      <c r="E77" s="1" t="s">
        <v>104</v>
      </c>
      <c r="F77" s="1" t="s">
        <v>106</v>
      </c>
      <c r="G77" s="1" t="s">
        <v>84</v>
      </c>
      <c r="H77" s="1"/>
      <c r="I77" s="1" t="s">
        <v>515</v>
      </c>
      <c r="J77" s="1" t="s">
        <v>1750</v>
      </c>
    </row>
    <row r="78" spans="1:10">
      <c r="A78" s="1" t="s">
        <v>541</v>
      </c>
      <c r="B78" s="1" t="s">
        <v>542</v>
      </c>
      <c r="C78" s="1" t="s">
        <v>1751</v>
      </c>
      <c r="D78" s="1" t="s">
        <v>397</v>
      </c>
      <c r="E78" s="1" t="s">
        <v>104</v>
      </c>
      <c r="F78" s="1" t="s">
        <v>1752</v>
      </c>
      <c r="G78" s="1" t="s">
        <v>84</v>
      </c>
      <c r="H78" s="1"/>
      <c r="I78" s="1" t="s">
        <v>515</v>
      </c>
      <c r="J78" s="1" t="s">
        <v>1753</v>
      </c>
    </row>
    <row r="79" spans="1:10">
      <c r="A79" s="1" t="s">
        <v>554</v>
      </c>
      <c r="B79" s="1" t="s">
        <v>555</v>
      </c>
      <c r="C79" s="1" t="s">
        <v>515</v>
      </c>
      <c r="D79" s="1" t="s">
        <v>497</v>
      </c>
      <c r="E79" s="1" t="s">
        <v>1765</v>
      </c>
      <c r="F79" s="1" t="s">
        <v>556</v>
      </c>
      <c r="G79" s="1" t="s">
        <v>1745</v>
      </c>
      <c r="H79" s="1"/>
      <c r="I79" s="1" t="s">
        <v>515</v>
      </c>
      <c r="J79" s="1" t="s">
        <v>1766</v>
      </c>
    </row>
    <row r="80" spans="1:10">
      <c r="A80" s="1" t="s">
        <v>570</v>
      </c>
      <c r="B80" s="1" t="s">
        <v>571</v>
      </c>
      <c r="C80" s="1" t="s">
        <v>515</v>
      </c>
      <c r="D80" s="1" t="s">
        <v>397</v>
      </c>
      <c r="E80" s="1" t="s">
        <v>104</v>
      </c>
      <c r="F80" s="1" t="s">
        <v>1747</v>
      </c>
      <c r="G80" s="1" t="s">
        <v>84</v>
      </c>
      <c r="H80" s="1"/>
      <c r="I80" s="1" t="s">
        <v>515</v>
      </c>
      <c r="J80" s="1" t="s">
        <v>1748</v>
      </c>
    </row>
    <row r="81" spans="1:10">
      <c r="A81" s="1" t="s">
        <v>570</v>
      </c>
      <c r="B81" s="1" t="s">
        <v>571</v>
      </c>
      <c r="C81" s="1" t="s">
        <v>1749</v>
      </c>
      <c r="D81" s="1" t="s">
        <v>397</v>
      </c>
      <c r="E81" s="1" t="s">
        <v>104</v>
      </c>
      <c r="F81" s="1" t="s">
        <v>106</v>
      </c>
      <c r="G81" s="1" t="s">
        <v>84</v>
      </c>
      <c r="H81" s="1"/>
      <c r="I81" s="1" t="s">
        <v>515</v>
      </c>
      <c r="J81" s="1" t="s">
        <v>1750</v>
      </c>
    </row>
    <row r="82" spans="1:10">
      <c r="A82" s="1" t="s">
        <v>570</v>
      </c>
      <c r="B82" s="1" t="s">
        <v>571</v>
      </c>
      <c r="C82" s="1" t="s">
        <v>1751</v>
      </c>
      <c r="D82" s="1" t="s">
        <v>397</v>
      </c>
      <c r="E82" s="1" t="s">
        <v>104</v>
      </c>
      <c r="F82" s="1" t="s">
        <v>1752</v>
      </c>
      <c r="G82" s="1" t="s">
        <v>84</v>
      </c>
      <c r="H82" s="1"/>
      <c r="I82" s="1" t="s">
        <v>515</v>
      </c>
      <c r="J82" s="1" t="s">
        <v>1753</v>
      </c>
    </row>
    <row r="83" spans="1:10">
      <c r="A83" s="1" t="s">
        <v>581</v>
      </c>
      <c r="B83" s="1" t="s">
        <v>582</v>
      </c>
      <c r="C83" s="1" t="s">
        <v>515</v>
      </c>
      <c r="D83" s="1" t="s">
        <v>497</v>
      </c>
      <c r="E83" s="1" t="s">
        <v>1765</v>
      </c>
      <c r="F83" s="1" t="s">
        <v>556</v>
      </c>
      <c r="G83" s="1" t="s">
        <v>1745</v>
      </c>
      <c r="H83" s="1"/>
      <c r="I83" s="1" t="s">
        <v>515</v>
      </c>
      <c r="J83" s="1" t="s">
        <v>1766</v>
      </c>
    </row>
    <row r="84" spans="1:10">
      <c r="A84" s="1" t="s">
        <v>593</v>
      </c>
      <c r="B84" s="1" t="s">
        <v>594</v>
      </c>
      <c r="C84" s="1" t="s">
        <v>515</v>
      </c>
      <c r="D84" s="1" t="s">
        <v>597</v>
      </c>
      <c r="E84" s="1" t="s">
        <v>104</v>
      </c>
      <c r="F84" s="1" t="s">
        <v>1747</v>
      </c>
      <c r="G84" s="1" t="s">
        <v>84</v>
      </c>
      <c r="H84" s="1"/>
      <c r="I84" s="1" t="s">
        <v>515</v>
      </c>
      <c r="J84" s="1" t="s">
        <v>1748</v>
      </c>
    </row>
    <row r="85" spans="1:10">
      <c r="A85" s="1" t="s">
        <v>593</v>
      </c>
      <c r="B85" s="1" t="s">
        <v>594</v>
      </c>
      <c r="C85" s="1" t="s">
        <v>1749</v>
      </c>
      <c r="D85" s="1" t="s">
        <v>597</v>
      </c>
      <c r="E85" s="1" t="s">
        <v>104</v>
      </c>
      <c r="F85" s="1" t="s">
        <v>106</v>
      </c>
      <c r="G85" s="1" t="s">
        <v>84</v>
      </c>
      <c r="H85" s="1"/>
      <c r="I85" s="1" t="s">
        <v>515</v>
      </c>
      <c r="J85" s="1" t="s">
        <v>1750</v>
      </c>
    </row>
    <row r="86" spans="1:10">
      <c r="A86" s="1" t="s">
        <v>593</v>
      </c>
      <c r="B86" s="1" t="s">
        <v>594</v>
      </c>
      <c r="C86" s="1" t="s">
        <v>1751</v>
      </c>
      <c r="D86" s="1" t="s">
        <v>597</v>
      </c>
      <c r="E86" s="1" t="s">
        <v>104</v>
      </c>
      <c r="F86" s="1" t="s">
        <v>1752</v>
      </c>
      <c r="G86" s="1" t="s">
        <v>84</v>
      </c>
      <c r="H86" s="1"/>
      <c r="I86" s="1" t="s">
        <v>515</v>
      </c>
      <c r="J86" s="1" t="s">
        <v>1753</v>
      </c>
    </row>
    <row r="87" spans="1:10">
      <c r="A87" s="1" t="s">
        <v>607</v>
      </c>
      <c r="B87" s="1" t="s">
        <v>608</v>
      </c>
      <c r="C87" s="1" t="s">
        <v>515</v>
      </c>
      <c r="D87" s="1" t="s">
        <v>397</v>
      </c>
      <c r="E87" s="1" t="s">
        <v>104</v>
      </c>
      <c r="F87" s="1" t="s">
        <v>1747</v>
      </c>
      <c r="G87" s="1" t="s">
        <v>84</v>
      </c>
      <c r="H87" s="1"/>
      <c r="I87" s="1" t="s">
        <v>515</v>
      </c>
      <c r="J87" s="1" t="s">
        <v>1748</v>
      </c>
    </row>
    <row r="88" spans="1:10">
      <c r="A88" s="1" t="s">
        <v>607</v>
      </c>
      <c r="B88" s="1" t="s">
        <v>608</v>
      </c>
      <c r="C88" s="1" t="s">
        <v>1749</v>
      </c>
      <c r="D88" s="1" t="s">
        <v>397</v>
      </c>
      <c r="E88" s="1" t="s">
        <v>105</v>
      </c>
      <c r="F88" s="1" t="s">
        <v>106</v>
      </c>
      <c r="G88" s="1" t="s">
        <v>84</v>
      </c>
      <c r="H88" s="1"/>
      <c r="I88" s="1" t="s">
        <v>515</v>
      </c>
      <c r="J88" s="1" t="s">
        <v>1750</v>
      </c>
    </row>
    <row r="89" spans="1:10">
      <c r="A89" s="1" t="s">
        <v>607</v>
      </c>
      <c r="B89" s="1" t="s">
        <v>608</v>
      </c>
      <c r="C89" s="1" t="s">
        <v>1751</v>
      </c>
      <c r="D89" s="1" t="s">
        <v>397</v>
      </c>
      <c r="E89" s="1" t="s">
        <v>104</v>
      </c>
      <c r="F89" s="1" t="s">
        <v>1752</v>
      </c>
      <c r="G89" s="1" t="s">
        <v>84</v>
      </c>
      <c r="H89" s="1"/>
      <c r="I89" s="1" t="s">
        <v>515</v>
      </c>
      <c r="J89" s="1" t="s">
        <v>1753</v>
      </c>
    </row>
    <row r="90" spans="1:10">
      <c r="A90" s="1" t="s">
        <v>620</v>
      </c>
      <c r="B90" s="1" t="s">
        <v>621</v>
      </c>
      <c r="C90" s="1" t="s">
        <v>515</v>
      </c>
      <c r="D90" s="1" t="s">
        <v>625</v>
      </c>
      <c r="E90" s="1" t="s">
        <v>104</v>
      </c>
      <c r="F90" s="1" t="s">
        <v>1747</v>
      </c>
      <c r="G90" s="1" t="s">
        <v>84</v>
      </c>
      <c r="H90" s="1"/>
      <c r="I90" s="1" t="s">
        <v>515</v>
      </c>
      <c r="J90" s="1" t="s">
        <v>1748</v>
      </c>
    </row>
    <row r="91" spans="1:10">
      <c r="A91" s="1" t="s">
        <v>620</v>
      </c>
      <c r="B91" s="1" t="s">
        <v>621</v>
      </c>
      <c r="C91" s="1" t="s">
        <v>1749</v>
      </c>
      <c r="D91" s="1" t="s">
        <v>625</v>
      </c>
      <c r="E91" s="1" t="s">
        <v>105</v>
      </c>
      <c r="F91" s="1" t="s">
        <v>106</v>
      </c>
      <c r="G91" s="1" t="s">
        <v>84</v>
      </c>
      <c r="H91" s="1"/>
      <c r="I91" s="1" t="s">
        <v>515</v>
      </c>
      <c r="J91" s="1" t="s">
        <v>1750</v>
      </c>
    </row>
    <row r="92" spans="1:10">
      <c r="A92" s="1" t="s">
        <v>620</v>
      </c>
      <c r="B92" s="1" t="s">
        <v>621</v>
      </c>
      <c r="C92" s="1" t="s">
        <v>1751</v>
      </c>
      <c r="D92" s="1" t="s">
        <v>625</v>
      </c>
      <c r="E92" s="1" t="s">
        <v>104</v>
      </c>
      <c r="F92" s="1" t="s">
        <v>1752</v>
      </c>
      <c r="G92" s="1" t="s">
        <v>84</v>
      </c>
      <c r="H92" s="1"/>
      <c r="I92" s="1" t="s">
        <v>515</v>
      </c>
      <c r="J92" s="1" t="s">
        <v>1753</v>
      </c>
    </row>
    <row r="93" spans="1:10">
      <c r="A93" s="1" t="s">
        <v>636</v>
      </c>
      <c r="B93" s="1" t="s">
        <v>637</v>
      </c>
      <c r="C93" s="1" t="s">
        <v>515</v>
      </c>
      <c r="D93" s="1" t="s">
        <v>641</v>
      </c>
      <c r="E93" s="1" t="s">
        <v>104</v>
      </c>
      <c r="F93" s="1" t="s">
        <v>1747</v>
      </c>
      <c r="G93" s="1" t="s">
        <v>84</v>
      </c>
      <c r="H93" s="1"/>
      <c r="I93" s="1" t="s">
        <v>515</v>
      </c>
      <c r="J93" s="1" t="s">
        <v>1748</v>
      </c>
    </row>
    <row r="94" spans="1:10">
      <c r="A94" s="1" t="s">
        <v>636</v>
      </c>
      <c r="B94" s="1" t="s">
        <v>637</v>
      </c>
      <c r="C94" s="1" t="s">
        <v>1749</v>
      </c>
      <c r="D94" s="1" t="s">
        <v>641</v>
      </c>
      <c r="E94" s="1" t="s">
        <v>105</v>
      </c>
      <c r="F94" s="1" t="s">
        <v>643</v>
      </c>
      <c r="G94" s="1" t="s">
        <v>84</v>
      </c>
      <c r="H94" s="1"/>
      <c r="I94" s="1" t="s">
        <v>515</v>
      </c>
      <c r="J94" s="1" t="s">
        <v>1750</v>
      </c>
    </row>
    <row r="95" spans="1:10">
      <c r="A95" s="1" t="s">
        <v>636</v>
      </c>
      <c r="B95" s="1" t="s">
        <v>637</v>
      </c>
      <c r="C95" s="1" t="s">
        <v>1751</v>
      </c>
      <c r="D95" s="1" t="s">
        <v>641</v>
      </c>
      <c r="E95" s="1" t="s">
        <v>104</v>
      </c>
      <c r="F95" s="1" t="s">
        <v>1752</v>
      </c>
      <c r="G95" s="1" t="s">
        <v>84</v>
      </c>
      <c r="H95" s="1"/>
      <c r="I95" s="1" t="s">
        <v>515</v>
      </c>
      <c r="J95" s="1" t="s">
        <v>1753</v>
      </c>
    </row>
    <row r="96" spans="1:10">
      <c r="A96" s="1" t="s">
        <v>651</v>
      </c>
      <c r="B96" s="1" t="s">
        <v>652</v>
      </c>
      <c r="C96" s="1" t="s">
        <v>515</v>
      </c>
      <c r="D96" s="1" t="s">
        <v>641</v>
      </c>
      <c r="E96" s="1" t="s">
        <v>105</v>
      </c>
      <c r="F96" s="1" t="s">
        <v>1747</v>
      </c>
      <c r="G96" s="1" t="s">
        <v>84</v>
      </c>
      <c r="H96" s="1"/>
      <c r="I96" s="1" t="s">
        <v>515</v>
      </c>
      <c r="J96" s="1" t="s">
        <v>1748</v>
      </c>
    </row>
    <row r="97" spans="1:10">
      <c r="A97" s="1" t="s">
        <v>651</v>
      </c>
      <c r="B97" s="1" t="s">
        <v>652</v>
      </c>
      <c r="C97" s="1" t="s">
        <v>1749</v>
      </c>
      <c r="D97" s="1" t="s">
        <v>641</v>
      </c>
      <c r="E97" s="1" t="s">
        <v>105</v>
      </c>
      <c r="F97" s="1" t="s">
        <v>643</v>
      </c>
      <c r="G97" s="1" t="s">
        <v>84</v>
      </c>
      <c r="H97" s="1"/>
      <c r="I97" s="1" t="s">
        <v>515</v>
      </c>
      <c r="J97" s="1" t="s">
        <v>1750</v>
      </c>
    </row>
    <row r="98" spans="1:10">
      <c r="A98" s="1" t="s">
        <v>651</v>
      </c>
      <c r="B98" s="1" t="s">
        <v>652</v>
      </c>
      <c r="C98" s="1" t="s">
        <v>1751</v>
      </c>
      <c r="D98" s="1" t="s">
        <v>641</v>
      </c>
      <c r="E98" s="1" t="s">
        <v>105</v>
      </c>
      <c r="F98" s="1" t="s">
        <v>1752</v>
      </c>
      <c r="G98" s="1" t="s">
        <v>84</v>
      </c>
      <c r="H98" s="1"/>
      <c r="I98" s="1" t="s">
        <v>515</v>
      </c>
      <c r="J98" s="1" t="s">
        <v>1753</v>
      </c>
    </row>
    <row r="99" spans="1:10">
      <c r="A99" s="1" t="s">
        <v>662</v>
      </c>
      <c r="B99" s="1" t="s">
        <v>663</v>
      </c>
      <c r="C99" s="1" t="s">
        <v>515</v>
      </c>
      <c r="D99" s="1" t="s">
        <v>641</v>
      </c>
      <c r="E99" s="1" t="s">
        <v>104</v>
      </c>
      <c r="F99" s="1" t="s">
        <v>1747</v>
      </c>
      <c r="G99" s="1" t="s">
        <v>84</v>
      </c>
      <c r="H99" s="1"/>
      <c r="I99" s="1" t="s">
        <v>515</v>
      </c>
      <c r="J99" s="1" t="s">
        <v>1748</v>
      </c>
    </row>
    <row r="100" spans="1:10">
      <c r="A100" s="1" t="s">
        <v>662</v>
      </c>
      <c r="B100" s="1" t="s">
        <v>663</v>
      </c>
      <c r="C100" s="1" t="s">
        <v>1749</v>
      </c>
      <c r="D100" s="1" t="s">
        <v>641</v>
      </c>
      <c r="E100" s="1" t="s">
        <v>105</v>
      </c>
      <c r="F100" s="1" t="s">
        <v>643</v>
      </c>
      <c r="G100" s="1" t="s">
        <v>84</v>
      </c>
      <c r="H100" s="1"/>
      <c r="I100" s="1" t="s">
        <v>515</v>
      </c>
      <c r="J100" s="1" t="s">
        <v>1750</v>
      </c>
    </row>
    <row r="101" spans="1:10">
      <c r="A101" s="1" t="s">
        <v>662</v>
      </c>
      <c r="B101" s="1" t="s">
        <v>663</v>
      </c>
      <c r="C101" s="1" t="s">
        <v>1751</v>
      </c>
      <c r="D101" s="1" t="s">
        <v>641</v>
      </c>
      <c r="E101" s="1" t="s">
        <v>104</v>
      </c>
      <c r="F101" s="1" t="s">
        <v>1752</v>
      </c>
      <c r="G101" s="1" t="s">
        <v>84</v>
      </c>
      <c r="H101" s="1"/>
      <c r="I101" s="1" t="s">
        <v>515</v>
      </c>
      <c r="J101" s="1" t="s">
        <v>1753</v>
      </c>
    </row>
    <row r="102" spans="1:10">
      <c r="A102" s="1" t="s">
        <v>672</v>
      </c>
      <c r="B102" s="1" t="s">
        <v>673</v>
      </c>
      <c r="C102" s="1" t="s">
        <v>515</v>
      </c>
      <c r="D102" s="1" t="s">
        <v>597</v>
      </c>
      <c r="E102" s="1" t="s">
        <v>105</v>
      </c>
      <c r="F102" s="1" t="s">
        <v>1747</v>
      </c>
      <c r="G102" s="1" t="s">
        <v>84</v>
      </c>
      <c r="H102" s="1"/>
      <c r="I102" s="1" t="s">
        <v>515</v>
      </c>
      <c r="J102" s="1" t="s">
        <v>1748</v>
      </c>
    </row>
    <row r="103" spans="1:10">
      <c r="A103" s="1" t="s">
        <v>672</v>
      </c>
      <c r="B103" s="1" t="s">
        <v>673</v>
      </c>
      <c r="C103" s="1" t="s">
        <v>1749</v>
      </c>
      <c r="D103" s="1" t="s">
        <v>597</v>
      </c>
      <c r="E103" s="1" t="s">
        <v>105</v>
      </c>
      <c r="F103" s="1" t="s">
        <v>106</v>
      </c>
      <c r="G103" s="1" t="s">
        <v>84</v>
      </c>
      <c r="H103" s="1"/>
      <c r="I103" s="1" t="s">
        <v>515</v>
      </c>
      <c r="J103" s="1" t="s">
        <v>1750</v>
      </c>
    </row>
    <row r="104" spans="1:10">
      <c r="A104" s="1" t="s">
        <v>672</v>
      </c>
      <c r="B104" s="1" t="s">
        <v>673</v>
      </c>
      <c r="C104" s="1" t="s">
        <v>1751</v>
      </c>
      <c r="D104" s="1" t="s">
        <v>597</v>
      </c>
      <c r="E104" s="1" t="s">
        <v>105</v>
      </c>
      <c r="F104" s="1" t="s">
        <v>1752</v>
      </c>
      <c r="G104" s="1" t="s">
        <v>84</v>
      </c>
      <c r="H104" s="1"/>
      <c r="I104" s="1" t="s">
        <v>515</v>
      </c>
      <c r="J104" s="1" t="s">
        <v>1753</v>
      </c>
    </row>
    <row r="105" spans="1:10">
      <c r="A105" s="1" t="s">
        <v>685</v>
      </c>
      <c r="B105" s="1" t="s">
        <v>686</v>
      </c>
      <c r="C105" s="1" t="s">
        <v>515</v>
      </c>
      <c r="D105" s="1" t="s">
        <v>597</v>
      </c>
      <c r="E105" s="1" t="s">
        <v>105</v>
      </c>
      <c r="F105" s="1" t="s">
        <v>1747</v>
      </c>
      <c r="G105" s="1" t="s">
        <v>84</v>
      </c>
      <c r="H105" s="1"/>
      <c r="I105" s="1" t="s">
        <v>515</v>
      </c>
      <c r="J105" s="1" t="s">
        <v>1748</v>
      </c>
    </row>
    <row r="106" spans="1:10">
      <c r="A106" s="1" t="s">
        <v>685</v>
      </c>
      <c r="B106" s="1" t="s">
        <v>686</v>
      </c>
      <c r="C106" s="1" t="s">
        <v>1749</v>
      </c>
      <c r="D106" s="1" t="s">
        <v>597</v>
      </c>
      <c r="E106" s="1" t="s">
        <v>105</v>
      </c>
      <c r="F106" s="1" t="s">
        <v>106</v>
      </c>
      <c r="G106" s="1" t="s">
        <v>84</v>
      </c>
      <c r="H106" s="1"/>
      <c r="I106" s="1" t="s">
        <v>515</v>
      </c>
      <c r="J106" s="1" t="s">
        <v>1750</v>
      </c>
    </row>
    <row r="107" spans="1:10">
      <c r="A107" s="1" t="s">
        <v>685</v>
      </c>
      <c r="B107" s="1" t="s">
        <v>686</v>
      </c>
      <c r="C107" s="1" t="s">
        <v>1751</v>
      </c>
      <c r="D107" s="1" t="s">
        <v>597</v>
      </c>
      <c r="E107" s="1" t="s">
        <v>105</v>
      </c>
      <c r="F107" s="1" t="s">
        <v>1752</v>
      </c>
      <c r="G107" s="1" t="s">
        <v>84</v>
      </c>
      <c r="H107" s="1"/>
      <c r="I107" s="1" t="s">
        <v>515</v>
      </c>
      <c r="J107" s="1" t="s">
        <v>1753</v>
      </c>
    </row>
    <row r="108" spans="1:10">
      <c r="A108" s="1" t="s">
        <v>697</v>
      </c>
      <c r="B108" s="1" t="s">
        <v>698</v>
      </c>
      <c r="C108" s="1" t="s">
        <v>515</v>
      </c>
      <c r="D108" s="1" t="s">
        <v>597</v>
      </c>
      <c r="E108" s="1" t="s">
        <v>105</v>
      </c>
      <c r="F108" s="1" t="s">
        <v>1747</v>
      </c>
      <c r="G108" s="1" t="s">
        <v>84</v>
      </c>
      <c r="H108" s="1"/>
      <c r="I108" s="1" t="s">
        <v>515</v>
      </c>
      <c r="J108" s="1" t="s">
        <v>1748</v>
      </c>
    </row>
    <row r="109" spans="1:10">
      <c r="A109" s="1" t="s">
        <v>697</v>
      </c>
      <c r="B109" s="1" t="s">
        <v>698</v>
      </c>
      <c r="C109" s="1" t="s">
        <v>1749</v>
      </c>
      <c r="D109" s="1" t="s">
        <v>597</v>
      </c>
      <c r="E109" s="1" t="s">
        <v>105</v>
      </c>
      <c r="F109" s="1" t="s">
        <v>106</v>
      </c>
      <c r="G109" s="1" t="s">
        <v>84</v>
      </c>
      <c r="H109" s="1"/>
      <c r="I109" s="1" t="s">
        <v>515</v>
      </c>
      <c r="J109" s="1" t="s">
        <v>1750</v>
      </c>
    </row>
    <row r="110" spans="1:10">
      <c r="A110" s="1" t="s">
        <v>697</v>
      </c>
      <c r="B110" s="1" t="s">
        <v>698</v>
      </c>
      <c r="C110" s="1" t="s">
        <v>1751</v>
      </c>
      <c r="D110" s="1" t="s">
        <v>597</v>
      </c>
      <c r="E110" s="1" t="s">
        <v>105</v>
      </c>
      <c r="F110" s="1" t="s">
        <v>1752</v>
      </c>
      <c r="G110" s="1" t="s">
        <v>84</v>
      </c>
      <c r="H110" s="1"/>
      <c r="I110" s="1" t="s">
        <v>515</v>
      </c>
      <c r="J110" s="1" t="s">
        <v>1753</v>
      </c>
    </row>
    <row r="111" spans="1:10">
      <c r="A111" s="1" t="s">
        <v>707</v>
      </c>
      <c r="B111" s="1" t="s">
        <v>708</v>
      </c>
      <c r="C111" s="1" t="s">
        <v>515</v>
      </c>
      <c r="D111" s="1" t="s">
        <v>625</v>
      </c>
      <c r="E111" s="1" t="s">
        <v>104</v>
      </c>
      <c r="F111" s="1" t="s">
        <v>1747</v>
      </c>
      <c r="G111" s="1" t="s">
        <v>84</v>
      </c>
      <c r="H111" s="1"/>
      <c r="I111" s="1" t="s">
        <v>515</v>
      </c>
      <c r="J111" s="1" t="s">
        <v>1748</v>
      </c>
    </row>
    <row r="112" spans="1:10">
      <c r="A112" s="1" t="s">
        <v>707</v>
      </c>
      <c r="B112" s="1" t="s">
        <v>708</v>
      </c>
      <c r="C112" s="1" t="s">
        <v>1749</v>
      </c>
      <c r="D112" s="1" t="s">
        <v>625</v>
      </c>
      <c r="E112" s="1" t="s">
        <v>258</v>
      </c>
      <c r="F112" s="1" t="s">
        <v>106</v>
      </c>
      <c r="G112" s="1" t="s">
        <v>212</v>
      </c>
      <c r="H112" s="1"/>
      <c r="I112" s="1" t="s">
        <v>515</v>
      </c>
      <c r="J112" s="1" t="s">
        <v>1750</v>
      </c>
    </row>
    <row r="113" spans="1:10">
      <c r="A113" s="1" t="s">
        <v>707</v>
      </c>
      <c r="B113" s="1" t="s">
        <v>708</v>
      </c>
      <c r="C113" s="1" t="s">
        <v>1751</v>
      </c>
      <c r="D113" s="1" t="s">
        <v>625</v>
      </c>
      <c r="E113" s="1" t="s">
        <v>104</v>
      </c>
      <c r="F113" s="1" t="s">
        <v>1752</v>
      </c>
      <c r="G113" s="1" t="s">
        <v>84</v>
      </c>
      <c r="H113" s="1"/>
      <c r="I113" s="1" t="s">
        <v>515</v>
      </c>
      <c r="J113" s="1" t="s">
        <v>1753</v>
      </c>
    </row>
    <row r="114" spans="1:10">
      <c r="A114" s="1" t="s">
        <v>717</v>
      </c>
      <c r="B114" s="1" t="s">
        <v>718</v>
      </c>
      <c r="C114" s="1" t="s">
        <v>515</v>
      </c>
      <c r="D114" s="1" t="s">
        <v>209</v>
      </c>
      <c r="E114" s="1" t="s">
        <v>258</v>
      </c>
      <c r="F114" s="1" t="s">
        <v>1747</v>
      </c>
      <c r="G114" s="1" t="s">
        <v>80</v>
      </c>
      <c r="H114" s="1"/>
      <c r="I114" s="1" t="s">
        <v>515</v>
      </c>
      <c r="J114" s="1" t="s">
        <v>1748</v>
      </c>
    </row>
    <row r="115" spans="1:10">
      <c r="A115" s="1" t="s">
        <v>717</v>
      </c>
      <c r="B115" s="1" t="s">
        <v>718</v>
      </c>
      <c r="C115" s="1" t="s">
        <v>1749</v>
      </c>
      <c r="D115" s="1" t="s">
        <v>209</v>
      </c>
      <c r="E115" s="1" t="s">
        <v>105</v>
      </c>
      <c r="F115" s="1" t="s">
        <v>213</v>
      </c>
      <c r="G115" s="1" t="s">
        <v>212</v>
      </c>
      <c r="H115" s="1"/>
      <c r="I115" s="1" t="s">
        <v>515</v>
      </c>
      <c r="J115" s="1" t="s">
        <v>1750</v>
      </c>
    </row>
    <row r="116" spans="1:10">
      <c r="A116" s="1" t="s">
        <v>717</v>
      </c>
      <c r="B116" s="1" t="s">
        <v>718</v>
      </c>
      <c r="C116" s="1" t="s">
        <v>1751</v>
      </c>
      <c r="D116" s="1" t="s">
        <v>209</v>
      </c>
      <c r="E116" s="1" t="s">
        <v>258</v>
      </c>
      <c r="F116" s="1" t="s">
        <v>1752</v>
      </c>
      <c r="G116" s="1" t="s">
        <v>1754</v>
      </c>
      <c r="H116" s="1"/>
      <c r="I116" s="1" t="s">
        <v>515</v>
      </c>
      <c r="J116" s="1" t="s">
        <v>1753</v>
      </c>
    </row>
    <row r="117" spans="1:10">
      <c r="A117" s="1" t="s">
        <v>729</v>
      </c>
      <c r="B117" s="1" t="s">
        <v>730</v>
      </c>
      <c r="C117" s="1" t="s">
        <v>515</v>
      </c>
      <c r="D117" s="1" t="s">
        <v>733</v>
      </c>
      <c r="E117" s="1" t="s">
        <v>105</v>
      </c>
      <c r="F117" s="1" t="s">
        <v>1747</v>
      </c>
      <c r="G117" s="1" t="s">
        <v>212</v>
      </c>
      <c r="H117" s="1"/>
      <c r="I117" s="1" t="s">
        <v>515</v>
      </c>
      <c r="J117" s="1" t="s">
        <v>1748</v>
      </c>
    </row>
    <row r="118" spans="1:10">
      <c r="A118" s="1" t="s">
        <v>729</v>
      </c>
      <c r="B118" s="1" t="s">
        <v>730</v>
      </c>
      <c r="C118" s="1" t="s">
        <v>1749</v>
      </c>
      <c r="D118" s="1" t="s">
        <v>733</v>
      </c>
      <c r="E118" s="1" t="s">
        <v>105</v>
      </c>
      <c r="F118" s="1" t="s">
        <v>106</v>
      </c>
      <c r="G118" s="1" t="s">
        <v>84</v>
      </c>
      <c r="H118" s="1"/>
      <c r="I118" s="1" t="s">
        <v>515</v>
      </c>
      <c r="J118" s="1" t="s">
        <v>1750</v>
      </c>
    </row>
    <row r="119" spans="1:10">
      <c r="A119" s="1" t="s">
        <v>729</v>
      </c>
      <c r="B119" s="1" t="s">
        <v>730</v>
      </c>
      <c r="C119" s="1" t="s">
        <v>1751</v>
      </c>
      <c r="D119" s="1" t="s">
        <v>733</v>
      </c>
      <c r="E119" s="1" t="s">
        <v>105</v>
      </c>
      <c r="F119" s="1" t="s">
        <v>1752</v>
      </c>
      <c r="G119" s="1" t="s">
        <v>1754</v>
      </c>
      <c r="H119" s="1"/>
      <c r="I119" s="1" t="s">
        <v>515</v>
      </c>
      <c r="J119" s="1" t="s">
        <v>1753</v>
      </c>
    </row>
    <row r="120" spans="1:10">
      <c r="A120" s="1" t="s">
        <v>743</v>
      </c>
      <c r="B120" s="1" t="s">
        <v>118</v>
      </c>
      <c r="C120" s="1" t="s">
        <v>515</v>
      </c>
      <c r="D120" s="1" t="s">
        <v>102</v>
      </c>
      <c r="E120" s="1" t="s">
        <v>105</v>
      </c>
      <c r="F120" s="1" t="s">
        <v>1747</v>
      </c>
      <c r="G120" s="1" t="s">
        <v>84</v>
      </c>
      <c r="H120" s="1"/>
      <c r="I120" s="1" t="s">
        <v>515</v>
      </c>
      <c r="J120" s="1" t="s">
        <v>1748</v>
      </c>
    </row>
    <row r="121" spans="1:10">
      <c r="A121" s="1" t="s">
        <v>743</v>
      </c>
      <c r="B121" s="1" t="s">
        <v>118</v>
      </c>
      <c r="C121" s="1" t="s">
        <v>1749</v>
      </c>
      <c r="D121" s="1" t="s">
        <v>102</v>
      </c>
      <c r="E121" s="1" t="s">
        <v>105</v>
      </c>
      <c r="F121" s="1" t="s">
        <v>106</v>
      </c>
      <c r="G121" s="1" t="s">
        <v>84</v>
      </c>
      <c r="H121" s="1"/>
      <c r="I121" s="1" t="s">
        <v>515</v>
      </c>
      <c r="J121" s="1" t="s">
        <v>1750</v>
      </c>
    </row>
    <row r="122" spans="1:10">
      <c r="A122" s="1" t="s">
        <v>743</v>
      </c>
      <c r="B122" s="1" t="s">
        <v>118</v>
      </c>
      <c r="C122" s="1" t="s">
        <v>1751</v>
      </c>
      <c r="D122" s="1" t="s">
        <v>102</v>
      </c>
      <c r="E122" s="1" t="s">
        <v>105</v>
      </c>
      <c r="F122" s="1" t="s">
        <v>1752</v>
      </c>
      <c r="G122" s="1" t="s">
        <v>84</v>
      </c>
      <c r="H122" s="1"/>
      <c r="I122" s="1" t="s">
        <v>515</v>
      </c>
      <c r="J122" s="1" t="s">
        <v>1753</v>
      </c>
    </row>
    <row r="123" spans="1:10">
      <c r="A123" s="1" t="s">
        <v>757</v>
      </c>
      <c r="B123" s="1" t="s">
        <v>758</v>
      </c>
      <c r="C123" s="1" t="s">
        <v>515</v>
      </c>
      <c r="D123" s="1" t="s">
        <v>163</v>
      </c>
      <c r="E123" s="1" t="s">
        <v>105</v>
      </c>
      <c r="F123" s="1" t="s">
        <v>1747</v>
      </c>
      <c r="G123" s="1" t="s">
        <v>84</v>
      </c>
      <c r="H123" s="1"/>
      <c r="I123" s="1" t="s">
        <v>515</v>
      </c>
      <c r="J123" s="1" t="s">
        <v>1748</v>
      </c>
    </row>
    <row r="124" spans="1:10">
      <c r="A124" s="1" t="s">
        <v>757</v>
      </c>
      <c r="B124" s="1" t="s">
        <v>758</v>
      </c>
      <c r="C124" s="1" t="s">
        <v>1749</v>
      </c>
      <c r="D124" s="1" t="s">
        <v>163</v>
      </c>
      <c r="E124" s="1" t="s">
        <v>104</v>
      </c>
      <c r="F124" s="1" t="s">
        <v>106</v>
      </c>
      <c r="G124" s="1" t="s">
        <v>84</v>
      </c>
      <c r="H124" s="1"/>
      <c r="I124" s="1" t="s">
        <v>515</v>
      </c>
      <c r="J124" s="1" t="s">
        <v>1750</v>
      </c>
    </row>
    <row r="125" spans="1:10">
      <c r="A125" s="1" t="s">
        <v>757</v>
      </c>
      <c r="B125" s="1" t="s">
        <v>758</v>
      </c>
      <c r="C125" s="1" t="s">
        <v>1751</v>
      </c>
      <c r="D125" s="1" t="s">
        <v>163</v>
      </c>
      <c r="E125" s="1" t="s">
        <v>105</v>
      </c>
      <c r="F125" s="1" t="s">
        <v>1752</v>
      </c>
      <c r="G125" s="1" t="s">
        <v>84</v>
      </c>
      <c r="H125" s="1"/>
      <c r="I125" s="1" t="s">
        <v>515</v>
      </c>
      <c r="J125" s="1" t="s">
        <v>1753</v>
      </c>
    </row>
    <row r="126" spans="1:10">
      <c r="A126" s="1" t="s">
        <v>768</v>
      </c>
      <c r="B126" s="1" t="s">
        <v>769</v>
      </c>
      <c r="C126" s="1" t="s">
        <v>515</v>
      </c>
      <c r="D126" s="1" t="s">
        <v>397</v>
      </c>
      <c r="E126" s="1" t="s">
        <v>105</v>
      </c>
      <c r="F126" s="1" t="s">
        <v>1747</v>
      </c>
      <c r="G126" s="1" t="s">
        <v>212</v>
      </c>
      <c r="H126" s="1"/>
      <c r="I126" s="1" t="s">
        <v>515</v>
      </c>
      <c r="J126" s="1" t="s">
        <v>1748</v>
      </c>
    </row>
    <row r="127" spans="1:10">
      <c r="A127" s="1" t="s">
        <v>768</v>
      </c>
      <c r="B127" s="1" t="s">
        <v>769</v>
      </c>
      <c r="C127" s="1" t="s">
        <v>1749</v>
      </c>
      <c r="D127" s="1" t="s">
        <v>397</v>
      </c>
      <c r="E127" s="1" t="s">
        <v>105</v>
      </c>
      <c r="F127" s="1" t="s">
        <v>106</v>
      </c>
      <c r="G127" s="1" t="s">
        <v>84</v>
      </c>
      <c r="H127" s="1"/>
      <c r="I127" s="1" t="s">
        <v>515</v>
      </c>
      <c r="J127" s="1" t="s">
        <v>1750</v>
      </c>
    </row>
    <row r="128" spans="1:10">
      <c r="A128" s="1" t="s">
        <v>768</v>
      </c>
      <c r="B128" s="1" t="s">
        <v>769</v>
      </c>
      <c r="C128" s="1" t="s">
        <v>1751</v>
      </c>
      <c r="D128" s="1" t="s">
        <v>397</v>
      </c>
      <c r="E128" s="1" t="s">
        <v>105</v>
      </c>
      <c r="F128" s="1" t="s">
        <v>1752</v>
      </c>
      <c r="G128" s="1" t="s">
        <v>1754</v>
      </c>
      <c r="H128" s="1"/>
      <c r="I128" s="1" t="s">
        <v>515</v>
      </c>
      <c r="J128" s="1" t="s">
        <v>1753</v>
      </c>
    </row>
    <row r="129" spans="1:10">
      <c r="A129" s="1" t="s">
        <v>783</v>
      </c>
      <c r="B129" s="1" t="s">
        <v>784</v>
      </c>
      <c r="C129" s="1" t="s">
        <v>515</v>
      </c>
      <c r="D129" s="1" t="s">
        <v>597</v>
      </c>
      <c r="E129" s="1" t="s">
        <v>105</v>
      </c>
      <c r="F129" s="1" t="s">
        <v>1747</v>
      </c>
      <c r="G129" s="1" t="s">
        <v>212</v>
      </c>
      <c r="H129" s="1"/>
      <c r="I129" s="1" t="s">
        <v>515</v>
      </c>
      <c r="J129" s="1" t="s">
        <v>1748</v>
      </c>
    </row>
    <row r="130" spans="1:10">
      <c r="A130" s="1" t="s">
        <v>783</v>
      </c>
      <c r="B130" s="1" t="s">
        <v>784</v>
      </c>
      <c r="C130" s="1" t="s">
        <v>1749</v>
      </c>
      <c r="D130" s="1" t="s">
        <v>597</v>
      </c>
      <c r="E130" s="1" t="s">
        <v>105</v>
      </c>
      <c r="F130" s="1" t="s">
        <v>106</v>
      </c>
      <c r="G130" s="1" t="s">
        <v>84</v>
      </c>
      <c r="H130" s="1"/>
      <c r="I130" s="1" t="s">
        <v>515</v>
      </c>
      <c r="J130" s="1" t="s">
        <v>1750</v>
      </c>
    </row>
    <row r="131" spans="1:10">
      <c r="A131" s="1" t="s">
        <v>783</v>
      </c>
      <c r="B131" s="1" t="s">
        <v>784</v>
      </c>
      <c r="C131" s="1" t="s">
        <v>1751</v>
      </c>
      <c r="D131" s="1" t="s">
        <v>597</v>
      </c>
      <c r="E131" s="1" t="s">
        <v>105</v>
      </c>
      <c r="F131" s="1" t="s">
        <v>1752</v>
      </c>
      <c r="G131" s="1" t="s">
        <v>1754</v>
      </c>
      <c r="H131" s="1"/>
      <c r="I131" s="1" t="s">
        <v>515</v>
      </c>
      <c r="J131" s="1" t="s">
        <v>1753</v>
      </c>
    </row>
    <row r="132" spans="1:10">
      <c r="A132" s="1" t="s">
        <v>795</v>
      </c>
      <c r="B132" s="1" t="s">
        <v>796</v>
      </c>
      <c r="C132" s="1" t="s">
        <v>515</v>
      </c>
      <c r="D132" s="1" t="s">
        <v>397</v>
      </c>
      <c r="E132" s="1" t="s">
        <v>105</v>
      </c>
      <c r="F132" s="1" t="s">
        <v>1747</v>
      </c>
      <c r="G132" s="1" t="s">
        <v>212</v>
      </c>
      <c r="H132" s="1"/>
      <c r="I132" s="1" t="s">
        <v>515</v>
      </c>
      <c r="J132" s="1" t="s">
        <v>1748</v>
      </c>
    </row>
    <row r="133" spans="1:10">
      <c r="A133" s="1" t="s">
        <v>795</v>
      </c>
      <c r="B133" s="1" t="s">
        <v>796</v>
      </c>
      <c r="C133" s="1" t="s">
        <v>1749</v>
      </c>
      <c r="D133" s="1" t="s">
        <v>397</v>
      </c>
      <c r="E133" s="1" t="s">
        <v>105</v>
      </c>
      <c r="F133" s="1" t="s">
        <v>106</v>
      </c>
      <c r="G133" s="1" t="s">
        <v>84</v>
      </c>
      <c r="H133" s="1"/>
      <c r="I133" s="1" t="s">
        <v>515</v>
      </c>
      <c r="J133" s="1" t="s">
        <v>1750</v>
      </c>
    </row>
    <row r="134" spans="1:10">
      <c r="A134" s="1" t="s">
        <v>795</v>
      </c>
      <c r="B134" s="1" t="s">
        <v>796</v>
      </c>
      <c r="C134" s="1" t="s">
        <v>1751</v>
      </c>
      <c r="D134" s="1" t="s">
        <v>397</v>
      </c>
      <c r="E134" s="1" t="s">
        <v>105</v>
      </c>
      <c r="F134" s="1" t="s">
        <v>1752</v>
      </c>
      <c r="G134" s="1" t="s">
        <v>1754</v>
      </c>
      <c r="H134" s="1"/>
      <c r="I134" s="1" t="s">
        <v>515</v>
      </c>
      <c r="J134" s="1" t="s">
        <v>1753</v>
      </c>
    </row>
    <row r="135" spans="1:10">
      <c r="A135" s="1" t="s">
        <v>808</v>
      </c>
      <c r="B135" s="1" t="s">
        <v>193</v>
      </c>
      <c r="C135" s="1" t="s">
        <v>515</v>
      </c>
      <c r="D135" s="1" t="s">
        <v>163</v>
      </c>
      <c r="E135" s="1" t="s">
        <v>105</v>
      </c>
      <c r="F135" s="1" t="s">
        <v>1747</v>
      </c>
      <c r="G135" s="1" t="s">
        <v>84</v>
      </c>
      <c r="H135" s="1"/>
      <c r="I135" s="1" t="s">
        <v>515</v>
      </c>
      <c r="J135" s="1" t="s">
        <v>1748</v>
      </c>
    </row>
    <row r="136" spans="1:10">
      <c r="A136" s="1" t="s">
        <v>808</v>
      </c>
      <c r="B136" s="1" t="s">
        <v>193</v>
      </c>
      <c r="C136" s="1" t="s">
        <v>1749</v>
      </c>
      <c r="D136" s="1" t="s">
        <v>163</v>
      </c>
      <c r="E136" s="1" t="s">
        <v>105</v>
      </c>
      <c r="F136" s="1" t="s">
        <v>106</v>
      </c>
      <c r="G136" s="1" t="s">
        <v>84</v>
      </c>
      <c r="H136" s="1"/>
      <c r="I136" s="1" t="s">
        <v>515</v>
      </c>
      <c r="J136" s="1" t="s">
        <v>1750</v>
      </c>
    </row>
    <row r="137" spans="1:10">
      <c r="A137" s="1" t="s">
        <v>808</v>
      </c>
      <c r="B137" s="1" t="s">
        <v>193</v>
      </c>
      <c r="C137" s="1" t="s">
        <v>1751</v>
      </c>
      <c r="D137" s="1" t="s">
        <v>163</v>
      </c>
      <c r="E137" s="1" t="s">
        <v>105</v>
      </c>
      <c r="F137" s="1" t="s">
        <v>1752</v>
      </c>
      <c r="G137" s="1" t="s">
        <v>84</v>
      </c>
      <c r="H137" s="1"/>
      <c r="I137" s="1" t="s">
        <v>515</v>
      </c>
      <c r="J137" s="1" t="s">
        <v>1753</v>
      </c>
    </row>
    <row r="138" spans="1:10">
      <c r="A138" s="1" t="s">
        <v>817</v>
      </c>
      <c r="B138" s="1" t="s">
        <v>818</v>
      </c>
      <c r="C138" s="1" t="s">
        <v>515</v>
      </c>
      <c r="D138" s="1" t="s">
        <v>597</v>
      </c>
      <c r="E138" s="1" t="s">
        <v>258</v>
      </c>
      <c r="F138" s="1" t="s">
        <v>1747</v>
      </c>
      <c r="G138" s="1" t="s">
        <v>80</v>
      </c>
      <c r="H138" s="1"/>
      <c r="I138" s="1" t="s">
        <v>515</v>
      </c>
      <c r="J138" s="1" t="s">
        <v>1748</v>
      </c>
    </row>
    <row r="139" spans="1:10">
      <c r="A139" s="1" t="s">
        <v>817</v>
      </c>
      <c r="B139" s="1" t="s">
        <v>818</v>
      </c>
      <c r="C139" s="1" t="s">
        <v>1749</v>
      </c>
      <c r="D139" s="1" t="s">
        <v>597</v>
      </c>
      <c r="E139" s="1" t="s">
        <v>258</v>
      </c>
      <c r="F139" s="1" t="s">
        <v>106</v>
      </c>
      <c r="G139" s="1" t="s">
        <v>212</v>
      </c>
      <c r="H139" s="1"/>
      <c r="I139" s="1" t="s">
        <v>515</v>
      </c>
      <c r="J139" s="1" t="s">
        <v>1750</v>
      </c>
    </row>
    <row r="140" spans="1:10">
      <c r="A140" s="1" t="s">
        <v>817</v>
      </c>
      <c r="B140" s="1" t="s">
        <v>818</v>
      </c>
      <c r="C140" s="1" t="s">
        <v>1751</v>
      </c>
      <c r="D140" s="1" t="s">
        <v>597</v>
      </c>
      <c r="E140" s="1" t="s">
        <v>258</v>
      </c>
      <c r="F140" s="1" t="s">
        <v>1752</v>
      </c>
      <c r="G140" s="1" t="s">
        <v>1754</v>
      </c>
      <c r="H140" s="1"/>
      <c r="I140" s="1" t="s">
        <v>515</v>
      </c>
      <c r="J140" s="1" t="s">
        <v>1753</v>
      </c>
    </row>
    <row r="141" spans="1:10">
      <c r="A141" s="1" t="s">
        <v>828</v>
      </c>
      <c r="B141" s="1" t="s">
        <v>829</v>
      </c>
      <c r="C141" s="1" t="s">
        <v>515</v>
      </c>
      <c r="D141" s="1" t="s">
        <v>397</v>
      </c>
      <c r="E141" s="1" t="s">
        <v>105</v>
      </c>
      <c r="F141" s="1" t="s">
        <v>1747</v>
      </c>
      <c r="G141" s="1" t="s">
        <v>84</v>
      </c>
      <c r="H141" s="1"/>
      <c r="I141" s="1" t="s">
        <v>515</v>
      </c>
      <c r="J141" s="1" t="s">
        <v>1748</v>
      </c>
    </row>
    <row r="142" spans="1:10">
      <c r="A142" s="1" t="s">
        <v>828</v>
      </c>
      <c r="B142" s="1" t="s">
        <v>829</v>
      </c>
      <c r="C142" s="1" t="s">
        <v>1749</v>
      </c>
      <c r="D142" s="1" t="s">
        <v>397</v>
      </c>
      <c r="E142" s="1" t="s">
        <v>258</v>
      </c>
      <c r="F142" s="1" t="s">
        <v>106</v>
      </c>
      <c r="G142" s="1" t="s">
        <v>212</v>
      </c>
      <c r="H142" s="1"/>
      <c r="I142" s="1" t="s">
        <v>515</v>
      </c>
      <c r="J142" s="1" t="s">
        <v>1750</v>
      </c>
    </row>
    <row r="143" spans="1:10">
      <c r="A143" s="1" t="s">
        <v>828</v>
      </c>
      <c r="B143" s="1" t="s">
        <v>829</v>
      </c>
      <c r="C143" s="1" t="s">
        <v>1751</v>
      </c>
      <c r="D143" s="1" t="s">
        <v>397</v>
      </c>
      <c r="E143" s="1" t="s">
        <v>105</v>
      </c>
      <c r="F143" s="1" t="s">
        <v>1752</v>
      </c>
      <c r="G143" s="1" t="s">
        <v>84</v>
      </c>
      <c r="H143" s="1"/>
      <c r="I143" s="1" t="s">
        <v>515</v>
      </c>
      <c r="J143" s="1" t="s">
        <v>1753</v>
      </c>
    </row>
    <row r="144" spans="1:10">
      <c r="A144" s="1" t="s">
        <v>840</v>
      </c>
      <c r="B144" s="1" t="s">
        <v>841</v>
      </c>
      <c r="C144" s="1" t="s">
        <v>515</v>
      </c>
      <c r="D144" s="1" t="s">
        <v>397</v>
      </c>
      <c r="E144" s="1" t="s">
        <v>258</v>
      </c>
      <c r="F144" s="1" t="s">
        <v>1747</v>
      </c>
      <c r="G144" s="1" t="s">
        <v>80</v>
      </c>
      <c r="H144" s="1"/>
      <c r="I144" s="1" t="s">
        <v>515</v>
      </c>
      <c r="J144" s="1" t="s">
        <v>1748</v>
      </c>
    </row>
    <row r="145" spans="1:10">
      <c r="A145" s="1" t="s">
        <v>840</v>
      </c>
      <c r="B145" s="1" t="s">
        <v>841</v>
      </c>
      <c r="C145" s="1" t="s">
        <v>1749</v>
      </c>
      <c r="D145" s="1" t="s">
        <v>397</v>
      </c>
      <c r="E145" s="1" t="s">
        <v>258</v>
      </c>
      <c r="F145" s="1" t="s">
        <v>106</v>
      </c>
      <c r="G145" s="1" t="s">
        <v>212</v>
      </c>
      <c r="H145" s="1"/>
      <c r="I145" s="1" t="s">
        <v>515</v>
      </c>
      <c r="J145" s="1" t="s">
        <v>1750</v>
      </c>
    </row>
    <row r="146" spans="1:10">
      <c r="A146" s="1" t="s">
        <v>840</v>
      </c>
      <c r="B146" s="1" t="s">
        <v>841</v>
      </c>
      <c r="C146" s="1" t="s">
        <v>1751</v>
      </c>
      <c r="D146" s="1" t="s">
        <v>397</v>
      </c>
      <c r="E146" s="1" t="s">
        <v>258</v>
      </c>
      <c r="F146" s="1" t="s">
        <v>1752</v>
      </c>
      <c r="G146" s="1" t="s">
        <v>1754</v>
      </c>
      <c r="H146" s="1"/>
      <c r="I146" s="1" t="s">
        <v>515</v>
      </c>
      <c r="J146" s="1" t="s">
        <v>1753</v>
      </c>
    </row>
    <row r="147" spans="1:10">
      <c r="A147" s="1" t="s">
        <v>852</v>
      </c>
      <c r="B147" s="1" t="s">
        <v>853</v>
      </c>
      <c r="C147" s="1" t="s">
        <v>515</v>
      </c>
      <c r="D147" s="1" t="s">
        <v>397</v>
      </c>
      <c r="E147" s="1" t="s">
        <v>258</v>
      </c>
      <c r="F147" s="1" t="s">
        <v>1747</v>
      </c>
      <c r="G147" s="1" t="s">
        <v>80</v>
      </c>
      <c r="H147" s="1"/>
      <c r="I147" s="1" t="s">
        <v>515</v>
      </c>
      <c r="J147" s="1" t="s">
        <v>1748</v>
      </c>
    </row>
    <row r="148" spans="1:10">
      <c r="A148" s="1" t="s">
        <v>852</v>
      </c>
      <c r="B148" s="1" t="s">
        <v>853</v>
      </c>
      <c r="C148" s="1" t="s">
        <v>1749</v>
      </c>
      <c r="D148" s="1" t="s">
        <v>397</v>
      </c>
      <c r="E148" s="1" t="s">
        <v>258</v>
      </c>
      <c r="F148" s="1" t="s">
        <v>106</v>
      </c>
      <c r="G148" s="1" t="s">
        <v>212</v>
      </c>
      <c r="H148" s="1"/>
      <c r="I148" s="1" t="s">
        <v>515</v>
      </c>
      <c r="J148" s="1" t="s">
        <v>1750</v>
      </c>
    </row>
    <row r="149" spans="1:10">
      <c r="A149" s="1" t="s">
        <v>852</v>
      </c>
      <c r="B149" s="1" t="s">
        <v>853</v>
      </c>
      <c r="C149" s="1" t="s">
        <v>1751</v>
      </c>
      <c r="D149" s="1" t="s">
        <v>397</v>
      </c>
      <c r="E149" s="1" t="s">
        <v>258</v>
      </c>
      <c r="F149" s="1" t="s">
        <v>1752</v>
      </c>
      <c r="G149" s="1" t="s">
        <v>1754</v>
      </c>
      <c r="H149" s="1"/>
      <c r="I149" s="1" t="s">
        <v>515</v>
      </c>
      <c r="J149" s="1" t="s">
        <v>1753</v>
      </c>
    </row>
    <row r="150" spans="1:10">
      <c r="A150" s="1" t="s">
        <v>862</v>
      </c>
      <c r="B150" s="1" t="s">
        <v>863</v>
      </c>
      <c r="C150" s="1" t="s">
        <v>515</v>
      </c>
      <c r="D150" s="1" t="s">
        <v>397</v>
      </c>
      <c r="E150" s="1" t="s">
        <v>1755</v>
      </c>
      <c r="F150" s="1" t="s">
        <v>1756</v>
      </c>
      <c r="G150" s="1" t="s">
        <v>80</v>
      </c>
      <c r="H150" s="1"/>
      <c r="I150" s="1" t="s">
        <v>515</v>
      </c>
      <c r="J150" s="1" t="s">
        <v>1767</v>
      </c>
    </row>
    <row r="151" spans="1:10">
      <c r="A151" s="1" t="s">
        <v>876</v>
      </c>
      <c r="B151" s="1" t="s">
        <v>877</v>
      </c>
      <c r="C151" s="1" t="s">
        <v>515</v>
      </c>
      <c r="D151" s="1" t="s">
        <v>163</v>
      </c>
      <c r="E151" s="1" t="s">
        <v>258</v>
      </c>
      <c r="F151" s="1" t="s">
        <v>1747</v>
      </c>
      <c r="G151" s="1" t="s">
        <v>80</v>
      </c>
      <c r="H151" s="1"/>
      <c r="I151" s="1" t="s">
        <v>515</v>
      </c>
      <c r="J151" s="1" t="s">
        <v>1748</v>
      </c>
    </row>
    <row r="152" spans="1:10">
      <c r="A152" s="1" t="s">
        <v>876</v>
      </c>
      <c r="B152" s="1" t="s">
        <v>877</v>
      </c>
      <c r="C152" s="1" t="s">
        <v>1749</v>
      </c>
      <c r="D152" s="1" t="s">
        <v>163</v>
      </c>
      <c r="E152" s="1" t="s">
        <v>105</v>
      </c>
      <c r="F152" s="1" t="s">
        <v>106</v>
      </c>
      <c r="G152" s="1" t="s">
        <v>84</v>
      </c>
      <c r="H152" s="1"/>
      <c r="I152" s="1" t="s">
        <v>515</v>
      </c>
      <c r="J152" s="1" t="s">
        <v>1750</v>
      </c>
    </row>
    <row r="153" spans="1:10">
      <c r="A153" s="1" t="s">
        <v>876</v>
      </c>
      <c r="B153" s="1" t="s">
        <v>877</v>
      </c>
      <c r="C153" s="1" t="s">
        <v>1751</v>
      </c>
      <c r="D153" s="1" t="s">
        <v>163</v>
      </c>
      <c r="E153" s="1" t="s">
        <v>258</v>
      </c>
      <c r="F153" s="1" t="s">
        <v>1752</v>
      </c>
      <c r="G153" s="1" t="s">
        <v>1754</v>
      </c>
      <c r="H153" s="1"/>
      <c r="I153" s="1" t="s">
        <v>515</v>
      </c>
      <c r="J153" s="1" t="s">
        <v>1753</v>
      </c>
    </row>
    <row r="154" spans="1:10">
      <c r="A154" s="1" t="s">
        <v>888</v>
      </c>
      <c r="B154" s="1" t="s">
        <v>889</v>
      </c>
      <c r="C154" s="1" t="s">
        <v>515</v>
      </c>
      <c r="D154" s="1" t="s">
        <v>397</v>
      </c>
      <c r="E154" s="1" t="s">
        <v>258</v>
      </c>
      <c r="F154" s="1" t="s">
        <v>1747</v>
      </c>
      <c r="G154" s="1" t="s">
        <v>80</v>
      </c>
      <c r="H154" s="1"/>
      <c r="I154" s="1" t="s">
        <v>515</v>
      </c>
      <c r="J154" s="1" t="s">
        <v>1748</v>
      </c>
    </row>
    <row r="155" spans="1:10">
      <c r="A155" s="1" t="s">
        <v>888</v>
      </c>
      <c r="B155" s="1" t="s">
        <v>889</v>
      </c>
      <c r="C155" s="1" t="s">
        <v>1749</v>
      </c>
      <c r="D155" s="1" t="s">
        <v>397</v>
      </c>
      <c r="E155" s="1" t="s">
        <v>258</v>
      </c>
      <c r="F155" s="1" t="s">
        <v>106</v>
      </c>
      <c r="G155" s="1" t="s">
        <v>212</v>
      </c>
      <c r="H155" s="1"/>
      <c r="I155" s="1" t="s">
        <v>515</v>
      </c>
      <c r="J155" s="1" t="s">
        <v>1750</v>
      </c>
    </row>
    <row r="156" spans="1:10">
      <c r="A156" s="1" t="s">
        <v>888</v>
      </c>
      <c r="B156" s="1" t="s">
        <v>889</v>
      </c>
      <c r="C156" s="1" t="s">
        <v>1751</v>
      </c>
      <c r="D156" s="1" t="s">
        <v>397</v>
      </c>
      <c r="E156" s="1" t="s">
        <v>258</v>
      </c>
      <c r="F156" s="1" t="s">
        <v>1752</v>
      </c>
      <c r="G156" s="1" t="s">
        <v>1754</v>
      </c>
      <c r="H156" s="1"/>
      <c r="I156" s="1" t="s">
        <v>515</v>
      </c>
      <c r="J156" s="1" t="s">
        <v>1753</v>
      </c>
    </row>
    <row r="157" spans="1:10">
      <c r="A157" s="1" t="s">
        <v>900</v>
      </c>
      <c r="B157" s="1" t="s">
        <v>901</v>
      </c>
      <c r="C157" s="1" t="s">
        <v>515</v>
      </c>
      <c r="D157" s="1" t="s">
        <v>597</v>
      </c>
      <c r="E157" s="1" t="s">
        <v>258</v>
      </c>
      <c r="F157" s="1" t="s">
        <v>1747</v>
      </c>
      <c r="G157" s="1" t="s">
        <v>80</v>
      </c>
      <c r="H157" s="1"/>
      <c r="I157" s="1" t="s">
        <v>515</v>
      </c>
      <c r="J157" s="1" t="s">
        <v>1748</v>
      </c>
    </row>
    <row r="158" spans="1:10">
      <c r="A158" s="1" t="s">
        <v>900</v>
      </c>
      <c r="B158" s="1" t="s">
        <v>901</v>
      </c>
      <c r="C158" s="1" t="s">
        <v>1749</v>
      </c>
      <c r="D158" s="1" t="s">
        <v>597</v>
      </c>
      <c r="E158" s="1" t="s">
        <v>258</v>
      </c>
      <c r="F158" s="1" t="s">
        <v>106</v>
      </c>
      <c r="G158" s="1" t="s">
        <v>212</v>
      </c>
      <c r="H158" s="1"/>
      <c r="I158" s="1" t="s">
        <v>515</v>
      </c>
      <c r="J158" s="1" t="s">
        <v>1750</v>
      </c>
    </row>
    <row r="159" spans="1:10">
      <c r="A159" s="1" t="s">
        <v>900</v>
      </c>
      <c r="B159" s="1" t="s">
        <v>901</v>
      </c>
      <c r="C159" s="1" t="s">
        <v>1751</v>
      </c>
      <c r="D159" s="1" t="s">
        <v>597</v>
      </c>
      <c r="E159" s="1" t="s">
        <v>258</v>
      </c>
      <c r="F159" s="1" t="s">
        <v>1752</v>
      </c>
      <c r="G159" s="1" t="s">
        <v>1754</v>
      </c>
      <c r="H159" s="1"/>
      <c r="I159" s="1" t="s">
        <v>515</v>
      </c>
      <c r="J159" s="1" t="s">
        <v>1753</v>
      </c>
    </row>
    <row r="160" spans="1:10">
      <c r="A160" s="1" t="s">
        <v>910</v>
      </c>
      <c r="B160" s="1" t="s">
        <v>911</v>
      </c>
      <c r="C160" s="1" t="s">
        <v>515</v>
      </c>
      <c r="D160" s="1" t="s">
        <v>597</v>
      </c>
      <c r="E160" s="1" t="s">
        <v>258</v>
      </c>
      <c r="F160" s="1" t="s">
        <v>1747</v>
      </c>
      <c r="G160" s="1" t="s">
        <v>80</v>
      </c>
      <c r="H160" s="1"/>
      <c r="I160" s="1" t="s">
        <v>515</v>
      </c>
      <c r="J160" s="1" t="s">
        <v>1748</v>
      </c>
    </row>
    <row r="161" spans="1:10">
      <c r="A161" s="1" t="s">
        <v>910</v>
      </c>
      <c r="B161" s="1" t="s">
        <v>911</v>
      </c>
      <c r="C161" s="1" t="s">
        <v>1749</v>
      </c>
      <c r="D161" s="1" t="s">
        <v>597</v>
      </c>
      <c r="E161" s="1" t="s">
        <v>258</v>
      </c>
      <c r="F161" s="1" t="s">
        <v>106</v>
      </c>
      <c r="G161" s="1" t="s">
        <v>212</v>
      </c>
      <c r="H161" s="1"/>
      <c r="I161" s="1" t="s">
        <v>515</v>
      </c>
      <c r="J161" s="1" t="s">
        <v>1750</v>
      </c>
    </row>
    <row r="162" spans="1:10">
      <c r="A162" s="1" t="s">
        <v>910</v>
      </c>
      <c r="B162" s="1" t="s">
        <v>911</v>
      </c>
      <c r="C162" s="1" t="s">
        <v>1751</v>
      </c>
      <c r="D162" s="1" t="s">
        <v>597</v>
      </c>
      <c r="E162" s="1" t="s">
        <v>258</v>
      </c>
      <c r="F162" s="1" t="s">
        <v>1752</v>
      </c>
      <c r="G162" s="1" t="s">
        <v>1754</v>
      </c>
      <c r="H162" s="1"/>
      <c r="I162" s="1" t="s">
        <v>515</v>
      </c>
      <c r="J162" s="1" t="s">
        <v>1753</v>
      </c>
    </row>
    <row r="163" spans="1:10">
      <c r="A163" s="1" t="s">
        <v>926</v>
      </c>
      <c r="B163" s="1" t="s">
        <v>145</v>
      </c>
      <c r="C163" s="1" t="s">
        <v>515</v>
      </c>
      <c r="D163" s="1" t="s">
        <v>102</v>
      </c>
      <c r="E163" s="1" t="s">
        <v>354</v>
      </c>
      <c r="F163" s="1" t="s">
        <v>1747</v>
      </c>
      <c r="G163" s="1" t="s">
        <v>80</v>
      </c>
      <c r="H163" s="1"/>
      <c r="I163" s="1" t="s">
        <v>515</v>
      </c>
      <c r="J163" s="1" t="s">
        <v>1748</v>
      </c>
    </row>
    <row r="164" spans="1:10">
      <c r="A164" s="1" t="s">
        <v>926</v>
      </c>
      <c r="B164" s="1" t="s">
        <v>145</v>
      </c>
      <c r="C164" s="1" t="s">
        <v>1749</v>
      </c>
      <c r="D164" s="1" t="s">
        <v>102</v>
      </c>
      <c r="E164" s="1" t="s">
        <v>258</v>
      </c>
      <c r="F164" s="1" t="s">
        <v>106</v>
      </c>
      <c r="G164" s="1" t="s">
        <v>212</v>
      </c>
      <c r="H164" s="1"/>
      <c r="I164" s="1" t="s">
        <v>515</v>
      </c>
      <c r="J164" s="1" t="s">
        <v>1750</v>
      </c>
    </row>
    <row r="165" spans="1:10">
      <c r="A165" s="1" t="s">
        <v>926</v>
      </c>
      <c r="B165" s="1" t="s">
        <v>145</v>
      </c>
      <c r="C165" s="1" t="s">
        <v>1751</v>
      </c>
      <c r="D165" s="1" t="s">
        <v>102</v>
      </c>
      <c r="E165" s="1" t="s">
        <v>354</v>
      </c>
      <c r="F165" s="1" t="s">
        <v>1752</v>
      </c>
      <c r="G165" s="1" t="s">
        <v>1754</v>
      </c>
      <c r="H165" s="1"/>
      <c r="I165" s="1" t="s">
        <v>515</v>
      </c>
      <c r="J165" s="1" t="s">
        <v>1753</v>
      </c>
    </row>
    <row r="166" spans="1:10">
      <c r="A166" s="1" t="s">
        <v>937</v>
      </c>
      <c r="B166" s="1" t="s">
        <v>938</v>
      </c>
      <c r="C166" s="1" t="s">
        <v>515</v>
      </c>
      <c r="D166" s="1" t="s">
        <v>597</v>
      </c>
      <c r="E166" s="1" t="s">
        <v>354</v>
      </c>
      <c r="F166" s="1" t="s">
        <v>1747</v>
      </c>
      <c r="G166" s="1" t="s">
        <v>80</v>
      </c>
      <c r="H166" s="1"/>
      <c r="I166" s="1" t="s">
        <v>515</v>
      </c>
      <c r="J166" s="1" t="s">
        <v>1748</v>
      </c>
    </row>
    <row r="167" spans="1:10">
      <c r="A167" s="1" t="s">
        <v>937</v>
      </c>
      <c r="B167" s="1" t="s">
        <v>938</v>
      </c>
      <c r="C167" s="1" t="s">
        <v>1749</v>
      </c>
      <c r="D167" s="1" t="s">
        <v>597</v>
      </c>
      <c r="E167" s="1" t="s">
        <v>258</v>
      </c>
      <c r="F167" s="1" t="s">
        <v>106</v>
      </c>
      <c r="G167" s="1" t="s">
        <v>212</v>
      </c>
      <c r="H167" s="1"/>
      <c r="I167" s="1" t="s">
        <v>515</v>
      </c>
      <c r="J167" s="1" t="s">
        <v>1750</v>
      </c>
    </row>
    <row r="168" spans="1:10">
      <c r="A168" s="1" t="s">
        <v>937</v>
      </c>
      <c r="B168" s="1" t="s">
        <v>938</v>
      </c>
      <c r="C168" s="1" t="s">
        <v>1751</v>
      </c>
      <c r="D168" s="1" t="s">
        <v>597</v>
      </c>
      <c r="E168" s="1" t="s">
        <v>354</v>
      </c>
      <c r="F168" s="1" t="s">
        <v>1752</v>
      </c>
      <c r="G168" s="1" t="s">
        <v>1754</v>
      </c>
      <c r="H168" s="1"/>
      <c r="I168" s="1" t="s">
        <v>515</v>
      </c>
      <c r="J168" s="1" t="s">
        <v>1753</v>
      </c>
    </row>
    <row r="169" spans="1:10">
      <c r="A169" s="1" t="s">
        <v>948</v>
      </c>
      <c r="B169" s="1" t="s">
        <v>949</v>
      </c>
      <c r="C169" s="1" t="s">
        <v>515</v>
      </c>
      <c r="D169" s="1" t="s">
        <v>625</v>
      </c>
      <c r="E169" s="1" t="s">
        <v>354</v>
      </c>
      <c r="F169" s="1" t="s">
        <v>1747</v>
      </c>
      <c r="G169" s="1" t="s">
        <v>80</v>
      </c>
      <c r="H169" s="1"/>
      <c r="I169" s="1" t="s">
        <v>515</v>
      </c>
      <c r="J169" s="1" t="s">
        <v>1748</v>
      </c>
    </row>
    <row r="170" spans="1:10">
      <c r="A170" s="1" t="s">
        <v>948</v>
      </c>
      <c r="B170" s="1" t="s">
        <v>949</v>
      </c>
      <c r="C170" s="1" t="s">
        <v>1749</v>
      </c>
      <c r="D170" s="1" t="s">
        <v>625</v>
      </c>
      <c r="E170" s="1" t="s">
        <v>354</v>
      </c>
      <c r="F170" s="1" t="s">
        <v>106</v>
      </c>
      <c r="G170" s="1" t="s">
        <v>212</v>
      </c>
      <c r="H170" s="1"/>
      <c r="I170" s="1" t="s">
        <v>515</v>
      </c>
      <c r="J170" s="1" t="s">
        <v>1750</v>
      </c>
    </row>
    <row r="171" spans="1:10">
      <c r="A171" s="1" t="s">
        <v>948</v>
      </c>
      <c r="B171" s="1" t="s">
        <v>949</v>
      </c>
      <c r="C171" s="1" t="s">
        <v>1751</v>
      </c>
      <c r="D171" s="1" t="s">
        <v>625</v>
      </c>
      <c r="E171" s="1" t="s">
        <v>354</v>
      </c>
      <c r="F171" s="1" t="s">
        <v>1752</v>
      </c>
      <c r="G171" s="1" t="s">
        <v>1754</v>
      </c>
      <c r="H171" s="1"/>
      <c r="I171" s="1" t="s">
        <v>515</v>
      </c>
      <c r="J171" s="1" t="s">
        <v>1753</v>
      </c>
    </row>
    <row r="172" spans="1:10">
      <c r="A172" s="1" t="s">
        <v>958</v>
      </c>
      <c r="B172" s="1" t="s">
        <v>959</v>
      </c>
      <c r="C172" s="1" t="s">
        <v>515</v>
      </c>
      <c r="D172" s="1" t="s">
        <v>209</v>
      </c>
      <c r="E172" s="1" t="s">
        <v>440</v>
      </c>
      <c r="F172" s="1" t="s">
        <v>1758</v>
      </c>
      <c r="G172" s="1" t="s">
        <v>80</v>
      </c>
      <c r="H172" s="1"/>
      <c r="I172" s="1" t="s">
        <v>515</v>
      </c>
      <c r="J172" s="1" t="s">
        <v>1759</v>
      </c>
    </row>
    <row r="173" spans="1:10">
      <c r="A173" s="1" t="s">
        <v>972</v>
      </c>
      <c r="B173" s="1" t="s">
        <v>973</v>
      </c>
      <c r="C173" s="1" t="s">
        <v>515</v>
      </c>
      <c r="D173" s="1" t="s">
        <v>397</v>
      </c>
      <c r="E173" s="1" t="s">
        <v>1755</v>
      </c>
      <c r="F173" s="1" t="s">
        <v>1756</v>
      </c>
      <c r="G173" s="1" t="s">
        <v>80</v>
      </c>
      <c r="H173" s="1"/>
      <c r="I173" s="1" t="s">
        <v>515</v>
      </c>
      <c r="J173" s="1" t="s">
        <v>1768</v>
      </c>
    </row>
    <row r="174" spans="1:10">
      <c r="A174" s="1" t="s">
        <v>985</v>
      </c>
      <c r="B174" s="1" t="s">
        <v>986</v>
      </c>
      <c r="C174" s="1" t="s">
        <v>515</v>
      </c>
      <c r="D174" s="1" t="s">
        <v>163</v>
      </c>
      <c r="E174" s="1" t="s">
        <v>1755</v>
      </c>
      <c r="F174" s="1" t="s">
        <v>1756</v>
      </c>
      <c r="G174" s="1" t="s">
        <v>80</v>
      </c>
      <c r="H174" s="1"/>
      <c r="I174" s="1" t="s">
        <v>515</v>
      </c>
      <c r="J174" s="1" t="s">
        <v>1769</v>
      </c>
    </row>
    <row r="175" spans="1:10">
      <c r="A175" s="1" t="s">
        <v>997</v>
      </c>
      <c r="B175" s="1" t="s">
        <v>71</v>
      </c>
      <c r="C175" s="1" t="s">
        <v>515</v>
      </c>
      <c r="D175" s="1" t="s">
        <v>497</v>
      </c>
      <c r="E175" s="1" t="s">
        <v>1755</v>
      </c>
      <c r="F175" s="1" t="s">
        <v>1756</v>
      </c>
      <c r="G175" s="1" t="s">
        <v>80</v>
      </c>
      <c r="H175" s="1"/>
      <c r="I175" s="1" t="s">
        <v>515</v>
      </c>
      <c r="J175" s="1" t="s">
        <v>1769</v>
      </c>
    </row>
    <row r="176" spans="1:10">
      <c r="A176" s="1" t="s">
        <v>1007</v>
      </c>
      <c r="B176" s="1" t="s">
        <v>1008</v>
      </c>
      <c r="C176" s="1" t="s">
        <v>515</v>
      </c>
      <c r="D176" s="1" t="s">
        <v>102</v>
      </c>
      <c r="E176" s="1" t="s">
        <v>1755</v>
      </c>
      <c r="F176" s="1" t="s">
        <v>1756</v>
      </c>
      <c r="G176" s="1" t="s">
        <v>80</v>
      </c>
      <c r="H176" s="1"/>
      <c r="I176" s="1" t="s">
        <v>515</v>
      </c>
      <c r="J176" s="1" t="s">
        <v>1769</v>
      </c>
    </row>
    <row r="177" spans="1:10">
      <c r="A177" s="1" t="s">
        <v>1017</v>
      </c>
      <c r="B177" s="1" t="s">
        <v>494</v>
      </c>
      <c r="C177" s="1" t="s">
        <v>515</v>
      </c>
      <c r="D177" s="1" t="s">
        <v>497</v>
      </c>
      <c r="E177" s="1" t="s">
        <v>1755</v>
      </c>
      <c r="F177" s="1" t="s">
        <v>1756</v>
      </c>
      <c r="G177" s="1" t="s">
        <v>80</v>
      </c>
      <c r="H177" s="1"/>
      <c r="I177" s="1" t="s">
        <v>515</v>
      </c>
      <c r="J177" s="1" t="s">
        <v>1762</v>
      </c>
    </row>
    <row r="178" spans="1:10">
      <c r="A178" s="1" t="s">
        <v>1027</v>
      </c>
      <c r="B178" s="1" t="s">
        <v>525</v>
      </c>
      <c r="C178" s="1" t="s">
        <v>515</v>
      </c>
      <c r="D178" s="1" t="s">
        <v>497</v>
      </c>
      <c r="E178" s="1" t="s">
        <v>1755</v>
      </c>
      <c r="F178" s="1" t="s">
        <v>1756</v>
      </c>
      <c r="G178" s="1" t="s">
        <v>80</v>
      </c>
      <c r="H178" s="1"/>
      <c r="I178" s="1" t="s">
        <v>515</v>
      </c>
      <c r="J178" s="1" t="s">
        <v>1764</v>
      </c>
    </row>
    <row r="179" spans="1:10">
      <c r="A179" s="1" t="s">
        <v>1035</v>
      </c>
      <c r="B179" s="1" t="s">
        <v>1036</v>
      </c>
      <c r="C179" s="1" t="s">
        <v>531</v>
      </c>
      <c r="D179" s="1" t="s">
        <v>733</v>
      </c>
      <c r="E179" s="1" t="s">
        <v>104</v>
      </c>
      <c r="F179" s="1" t="s">
        <v>1747</v>
      </c>
      <c r="G179" s="1" t="s">
        <v>84</v>
      </c>
      <c r="H179" s="1"/>
      <c r="I179" s="1" t="s">
        <v>531</v>
      </c>
      <c r="J179" s="1" t="s">
        <v>1748</v>
      </c>
    </row>
    <row r="180" spans="1:10">
      <c r="A180" s="1" t="s">
        <v>1035</v>
      </c>
      <c r="B180" s="1" t="s">
        <v>1036</v>
      </c>
      <c r="C180" s="1" t="s">
        <v>1749</v>
      </c>
      <c r="D180" s="1" t="s">
        <v>733</v>
      </c>
      <c r="E180" s="1" t="s">
        <v>104</v>
      </c>
      <c r="F180" s="1" t="s">
        <v>106</v>
      </c>
      <c r="G180" s="1" t="s">
        <v>84</v>
      </c>
      <c r="H180" s="1"/>
      <c r="I180" s="1" t="s">
        <v>531</v>
      </c>
      <c r="J180" s="1" t="s">
        <v>1750</v>
      </c>
    </row>
    <row r="181" spans="1:10">
      <c r="A181" s="1" t="s">
        <v>1049</v>
      </c>
      <c r="B181" s="1" t="s">
        <v>1050</v>
      </c>
      <c r="C181" s="1" t="s">
        <v>531</v>
      </c>
      <c r="D181" s="1" t="s">
        <v>733</v>
      </c>
      <c r="E181" s="1" t="s">
        <v>1765</v>
      </c>
      <c r="F181" s="1" t="s">
        <v>556</v>
      </c>
      <c r="G181" s="1" t="s">
        <v>1745</v>
      </c>
      <c r="H181" s="1"/>
      <c r="I181" s="1" t="s">
        <v>531</v>
      </c>
      <c r="J181" s="1" t="s">
        <v>1766</v>
      </c>
    </row>
    <row r="182" spans="1:10">
      <c r="A182" s="1" t="s">
        <v>1060</v>
      </c>
      <c r="B182" s="1" t="s">
        <v>1061</v>
      </c>
      <c r="C182" s="1" t="s">
        <v>531</v>
      </c>
      <c r="D182" s="1" t="s">
        <v>1065</v>
      </c>
      <c r="E182" s="1" t="s">
        <v>104</v>
      </c>
      <c r="F182" s="1" t="s">
        <v>1747</v>
      </c>
      <c r="G182" s="1" t="s">
        <v>84</v>
      </c>
      <c r="H182" s="1"/>
      <c r="I182" s="1" t="s">
        <v>531</v>
      </c>
      <c r="J182" s="1" t="s">
        <v>1748</v>
      </c>
    </row>
    <row r="183" spans="1:10">
      <c r="A183" s="1" t="s">
        <v>1060</v>
      </c>
      <c r="B183" s="1" t="s">
        <v>1061</v>
      </c>
      <c r="C183" s="1" t="s">
        <v>1749</v>
      </c>
      <c r="D183" s="1" t="s">
        <v>1065</v>
      </c>
      <c r="E183" s="1" t="s">
        <v>105</v>
      </c>
      <c r="F183" s="1" t="s">
        <v>643</v>
      </c>
      <c r="G183" s="1" t="s">
        <v>84</v>
      </c>
      <c r="H183" s="1"/>
      <c r="I183" s="1" t="s">
        <v>531</v>
      </c>
      <c r="J183" s="1" t="s">
        <v>1750</v>
      </c>
    </row>
    <row r="184" spans="1:10">
      <c r="A184" s="1" t="s">
        <v>1076</v>
      </c>
      <c r="B184" s="1" t="s">
        <v>1077</v>
      </c>
      <c r="C184" s="1" t="s">
        <v>531</v>
      </c>
      <c r="D184" s="1" t="s">
        <v>1065</v>
      </c>
      <c r="E184" s="1" t="s">
        <v>104</v>
      </c>
      <c r="F184" s="1" t="s">
        <v>1747</v>
      </c>
      <c r="G184" s="1" t="s">
        <v>84</v>
      </c>
      <c r="H184" s="1"/>
      <c r="I184" s="1" t="s">
        <v>531</v>
      </c>
      <c r="J184" s="1" t="s">
        <v>1748</v>
      </c>
    </row>
    <row r="185" spans="1:10">
      <c r="A185" s="1" t="s">
        <v>1076</v>
      </c>
      <c r="B185" s="1" t="s">
        <v>1077</v>
      </c>
      <c r="C185" s="1" t="s">
        <v>1749</v>
      </c>
      <c r="D185" s="1" t="s">
        <v>1065</v>
      </c>
      <c r="E185" s="1" t="s">
        <v>105</v>
      </c>
      <c r="F185" s="1" t="s">
        <v>643</v>
      </c>
      <c r="G185" s="1" t="s">
        <v>84</v>
      </c>
      <c r="H185" s="1"/>
      <c r="I185" s="1" t="s">
        <v>531</v>
      </c>
      <c r="J185" s="1" t="s">
        <v>1750</v>
      </c>
    </row>
    <row r="186" spans="1:10">
      <c r="A186" s="1" t="s">
        <v>1087</v>
      </c>
      <c r="B186" s="1" t="s">
        <v>1088</v>
      </c>
      <c r="C186" s="1" t="s">
        <v>531</v>
      </c>
      <c r="D186" s="1" t="s">
        <v>1065</v>
      </c>
      <c r="E186" s="1" t="s">
        <v>104</v>
      </c>
      <c r="F186" s="1" t="s">
        <v>1747</v>
      </c>
      <c r="G186" s="1" t="s">
        <v>84</v>
      </c>
      <c r="H186" s="1"/>
      <c r="I186" s="1" t="s">
        <v>531</v>
      </c>
      <c r="J186" s="1" t="s">
        <v>1748</v>
      </c>
    </row>
    <row r="187" spans="1:10">
      <c r="A187" s="1" t="s">
        <v>1087</v>
      </c>
      <c r="B187" s="1" t="s">
        <v>1088</v>
      </c>
      <c r="C187" s="1" t="s">
        <v>1749</v>
      </c>
      <c r="D187" s="1" t="s">
        <v>1065</v>
      </c>
      <c r="E187" s="1" t="s">
        <v>105</v>
      </c>
      <c r="F187" s="1" t="s">
        <v>643</v>
      </c>
      <c r="G187" s="1" t="s">
        <v>84</v>
      </c>
      <c r="H187" s="1"/>
      <c r="I187" s="1" t="s">
        <v>531</v>
      </c>
      <c r="J187" s="1" t="s">
        <v>1750</v>
      </c>
    </row>
    <row r="188" spans="1:10">
      <c r="A188" s="1" t="s">
        <v>1100</v>
      </c>
      <c r="B188" s="1" t="s">
        <v>1101</v>
      </c>
      <c r="C188" s="1" t="s">
        <v>531</v>
      </c>
      <c r="D188" s="1" t="s">
        <v>733</v>
      </c>
      <c r="E188" s="1" t="s">
        <v>104</v>
      </c>
      <c r="F188" s="1" t="s">
        <v>1747</v>
      </c>
      <c r="G188" s="1" t="s">
        <v>84</v>
      </c>
      <c r="H188" s="1"/>
      <c r="I188" s="1" t="s">
        <v>531</v>
      </c>
      <c r="J188" s="1" t="s">
        <v>1748</v>
      </c>
    </row>
    <row r="189" spans="1:10">
      <c r="A189" s="1" t="s">
        <v>1100</v>
      </c>
      <c r="B189" s="1" t="s">
        <v>1101</v>
      </c>
      <c r="C189" s="1" t="s">
        <v>1749</v>
      </c>
      <c r="D189" s="1" t="s">
        <v>733</v>
      </c>
      <c r="E189" s="1" t="s">
        <v>104</v>
      </c>
      <c r="F189" s="1" t="s">
        <v>106</v>
      </c>
      <c r="G189" s="1" t="s">
        <v>84</v>
      </c>
      <c r="H189" s="1"/>
      <c r="I189" s="1" t="s">
        <v>531</v>
      </c>
      <c r="J189" s="1" t="s">
        <v>1750</v>
      </c>
    </row>
    <row r="190" spans="1:10">
      <c r="A190" s="1" t="s">
        <v>1113</v>
      </c>
      <c r="B190" s="1" t="s">
        <v>1114</v>
      </c>
      <c r="C190" s="1" t="s">
        <v>531</v>
      </c>
      <c r="D190" s="1" t="s">
        <v>1117</v>
      </c>
      <c r="E190" s="1" t="s">
        <v>104</v>
      </c>
      <c r="F190" s="1" t="s">
        <v>1747</v>
      </c>
      <c r="G190" s="1" t="s">
        <v>212</v>
      </c>
      <c r="H190" s="1"/>
      <c r="I190" s="1" t="s">
        <v>531</v>
      </c>
      <c r="J190" s="1" t="s">
        <v>1748</v>
      </c>
    </row>
    <row r="191" spans="1:10">
      <c r="A191" s="1" t="s">
        <v>1113</v>
      </c>
      <c r="B191" s="1" t="s">
        <v>1114</v>
      </c>
      <c r="C191" s="1" t="s">
        <v>1749</v>
      </c>
      <c r="D191" s="1" t="s">
        <v>1117</v>
      </c>
      <c r="E191" s="1" t="s">
        <v>105</v>
      </c>
      <c r="F191" s="1" t="s">
        <v>213</v>
      </c>
      <c r="G191" s="1" t="s">
        <v>212</v>
      </c>
      <c r="H191" s="1"/>
      <c r="I191" s="1" t="s">
        <v>531</v>
      </c>
      <c r="J191" s="1" t="s">
        <v>1750</v>
      </c>
    </row>
    <row r="192" spans="1:10">
      <c r="A192" s="1" t="s">
        <v>1129</v>
      </c>
      <c r="B192" s="1" t="s">
        <v>1130</v>
      </c>
      <c r="C192" s="1" t="s">
        <v>531</v>
      </c>
      <c r="D192" s="1" t="s">
        <v>733</v>
      </c>
      <c r="E192" s="1" t="s">
        <v>105</v>
      </c>
      <c r="F192" s="1" t="s">
        <v>1747</v>
      </c>
      <c r="G192" s="1" t="s">
        <v>84</v>
      </c>
      <c r="H192" s="1"/>
      <c r="I192" s="1" t="s">
        <v>531</v>
      </c>
      <c r="J192" s="1" t="s">
        <v>1748</v>
      </c>
    </row>
    <row r="193" spans="1:10">
      <c r="A193" s="1" t="s">
        <v>1129</v>
      </c>
      <c r="B193" s="1" t="s">
        <v>1130</v>
      </c>
      <c r="C193" s="1" t="s">
        <v>1749</v>
      </c>
      <c r="D193" s="1" t="s">
        <v>733</v>
      </c>
      <c r="E193" s="1" t="s">
        <v>105</v>
      </c>
      <c r="F193" s="1" t="s">
        <v>106</v>
      </c>
      <c r="G193" s="1" t="s">
        <v>84</v>
      </c>
      <c r="H193" s="1"/>
      <c r="I193" s="1" t="s">
        <v>531</v>
      </c>
      <c r="J193" s="1" t="s">
        <v>1750</v>
      </c>
    </row>
    <row r="194" spans="1:10">
      <c r="A194" s="1" t="s">
        <v>1141</v>
      </c>
      <c r="B194" s="1" t="s">
        <v>1142</v>
      </c>
      <c r="C194" s="1" t="s">
        <v>531</v>
      </c>
      <c r="D194" s="1" t="s">
        <v>1065</v>
      </c>
      <c r="E194" s="1" t="s">
        <v>105</v>
      </c>
      <c r="F194" s="1" t="s">
        <v>1747</v>
      </c>
      <c r="G194" s="1" t="s">
        <v>84</v>
      </c>
      <c r="H194" s="1"/>
      <c r="I194" s="1" t="s">
        <v>531</v>
      </c>
      <c r="J194" s="1" t="s">
        <v>1748</v>
      </c>
    </row>
    <row r="195" spans="1:10">
      <c r="A195" s="1" t="s">
        <v>1141</v>
      </c>
      <c r="B195" s="1" t="s">
        <v>1142</v>
      </c>
      <c r="C195" s="1" t="s">
        <v>1749</v>
      </c>
      <c r="D195" s="1" t="s">
        <v>1065</v>
      </c>
      <c r="E195" s="1" t="s">
        <v>105</v>
      </c>
      <c r="F195" s="1" t="s">
        <v>643</v>
      </c>
      <c r="G195" s="1" t="s">
        <v>84</v>
      </c>
      <c r="H195" s="1"/>
      <c r="I195" s="1" t="s">
        <v>531</v>
      </c>
      <c r="J195" s="1" t="s">
        <v>1750</v>
      </c>
    </row>
    <row r="196" spans="1:10">
      <c r="A196" s="1" t="s">
        <v>1154</v>
      </c>
      <c r="B196" s="1" t="s">
        <v>1155</v>
      </c>
      <c r="C196" s="1" t="s">
        <v>531</v>
      </c>
      <c r="D196" s="1" t="s">
        <v>1117</v>
      </c>
      <c r="E196" s="1" t="s">
        <v>105</v>
      </c>
      <c r="F196" s="1" t="s">
        <v>1747</v>
      </c>
      <c r="G196" s="1" t="s">
        <v>212</v>
      </c>
      <c r="H196" s="1"/>
      <c r="I196" s="1" t="s">
        <v>531</v>
      </c>
      <c r="J196" s="1" t="s">
        <v>1748</v>
      </c>
    </row>
    <row r="197" spans="1:10">
      <c r="A197" s="1" t="s">
        <v>1154</v>
      </c>
      <c r="B197" s="1" t="s">
        <v>1155</v>
      </c>
      <c r="C197" s="1" t="s">
        <v>1749</v>
      </c>
      <c r="D197" s="1" t="s">
        <v>1117</v>
      </c>
      <c r="E197" s="1" t="s">
        <v>105</v>
      </c>
      <c r="F197" s="1" t="s">
        <v>213</v>
      </c>
      <c r="G197" s="1" t="s">
        <v>212</v>
      </c>
      <c r="H197" s="1"/>
      <c r="I197" s="1" t="s">
        <v>531</v>
      </c>
      <c r="J197" s="1" t="s">
        <v>1750</v>
      </c>
    </row>
    <row r="198" spans="1:10">
      <c r="A198" s="1" t="s">
        <v>1167</v>
      </c>
      <c r="B198" s="1" t="s">
        <v>1168</v>
      </c>
      <c r="C198" s="1" t="s">
        <v>531</v>
      </c>
      <c r="D198" s="1" t="s">
        <v>733</v>
      </c>
      <c r="E198" s="1" t="s">
        <v>105</v>
      </c>
      <c r="F198" s="1" t="s">
        <v>1747</v>
      </c>
      <c r="G198" s="1" t="s">
        <v>84</v>
      </c>
      <c r="H198" s="1"/>
      <c r="I198" s="1" t="s">
        <v>531</v>
      </c>
      <c r="J198" s="1" t="s">
        <v>1748</v>
      </c>
    </row>
    <row r="199" spans="1:10">
      <c r="A199" s="1" t="s">
        <v>1167</v>
      </c>
      <c r="B199" s="1" t="s">
        <v>1168</v>
      </c>
      <c r="C199" s="1" t="s">
        <v>1749</v>
      </c>
      <c r="D199" s="1" t="s">
        <v>733</v>
      </c>
      <c r="E199" s="1" t="s">
        <v>105</v>
      </c>
      <c r="F199" s="1" t="s">
        <v>106</v>
      </c>
      <c r="G199" s="1" t="s">
        <v>84</v>
      </c>
      <c r="H199" s="1"/>
      <c r="I199" s="1" t="s">
        <v>531</v>
      </c>
      <c r="J199" s="1" t="s">
        <v>1750</v>
      </c>
    </row>
    <row r="200" spans="1:10">
      <c r="A200" s="1" t="s">
        <v>1180</v>
      </c>
      <c r="B200" s="1" t="s">
        <v>1181</v>
      </c>
      <c r="C200" s="1" t="s">
        <v>531</v>
      </c>
      <c r="D200" s="1" t="s">
        <v>1065</v>
      </c>
      <c r="E200" s="1" t="s">
        <v>105</v>
      </c>
      <c r="F200" s="1" t="s">
        <v>1747</v>
      </c>
      <c r="G200" s="1" t="s">
        <v>84</v>
      </c>
      <c r="H200" s="1"/>
      <c r="I200" s="1" t="s">
        <v>531</v>
      </c>
      <c r="J200" s="1" t="s">
        <v>1748</v>
      </c>
    </row>
    <row r="201" spans="1:10">
      <c r="A201" s="1" t="s">
        <v>1180</v>
      </c>
      <c r="B201" s="1" t="s">
        <v>1181</v>
      </c>
      <c r="C201" s="1" t="s">
        <v>1749</v>
      </c>
      <c r="D201" s="1" t="s">
        <v>1065</v>
      </c>
      <c r="E201" s="1" t="s">
        <v>105</v>
      </c>
      <c r="F201" s="1" t="s">
        <v>643</v>
      </c>
      <c r="G201" s="1" t="s">
        <v>84</v>
      </c>
      <c r="H201" s="1"/>
      <c r="I201" s="1" t="s">
        <v>531</v>
      </c>
      <c r="J201" s="1" t="s">
        <v>1750</v>
      </c>
    </row>
    <row r="202" spans="1:10">
      <c r="A202" s="1" t="s">
        <v>1192</v>
      </c>
      <c r="B202" s="1" t="s">
        <v>1193</v>
      </c>
      <c r="C202" s="1" t="s">
        <v>531</v>
      </c>
      <c r="D202" s="1" t="s">
        <v>1117</v>
      </c>
      <c r="E202" s="1" t="s">
        <v>105</v>
      </c>
      <c r="F202" s="1" t="s">
        <v>1747</v>
      </c>
      <c r="G202" s="1" t="s">
        <v>212</v>
      </c>
      <c r="H202" s="1"/>
      <c r="I202" s="1" t="s">
        <v>531</v>
      </c>
      <c r="J202" s="1" t="s">
        <v>1748</v>
      </c>
    </row>
    <row r="203" spans="1:10">
      <c r="A203" s="1" t="s">
        <v>1192</v>
      </c>
      <c r="B203" s="1" t="s">
        <v>1193</v>
      </c>
      <c r="C203" s="1" t="s">
        <v>1749</v>
      </c>
      <c r="D203" s="1" t="s">
        <v>1117</v>
      </c>
      <c r="E203" s="1" t="s">
        <v>105</v>
      </c>
      <c r="F203" s="1" t="s">
        <v>213</v>
      </c>
      <c r="G203" s="1" t="s">
        <v>212</v>
      </c>
      <c r="H203" s="1"/>
      <c r="I203" s="1" t="s">
        <v>531</v>
      </c>
      <c r="J203" s="1" t="s">
        <v>1750</v>
      </c>
    </row>
    <row r="204" spans="1:10">
      <c r="A204" s="1" t="s">
        <v>1203</v>
      </c>
      <c r="B204" s="1" t="s">
        <v>1204</v>
      </c>
      <c r="C204" s="1" t="s">
        <v>531</v>
      </c>
      <c r="D204" s="1" t="s">
        <v>1065</v>
      </c>
      <c r="E204" s="1" t="s">
        <v>105</v>
      </c>
      <c r="F204" s="1" t="s">
        <v>1747</v>
      </c>
      <c r="G204" s="1" t="s">
        <v>84</v>
      </c>
      <c r="H204" s="1"/>
      <c r="I204" s="1" t="s">
        <v>531</v>
      </c>
      <c r="J204" s="1" t="s">
        <v>1748</v>
      </c>
    </row>
    <row r="205" spans="1:10">
      <c r="A205" s="1" t="s">
        <v>1203</v>
      </c>
      <c r="B205" s="1" t="s">
        <v>1204</v>
      </c>
      <c r="C205" s="1" t="s">
        <v>1749</v>
      </c>
      <c r="D205" s="1" t="s">
        <v>1065</v>
      </c>
      <c r="E205" s="1" t="s">
        <v>258</v>
      </c>
      <c r="F205" s="1" t="s">
        <v>643</v>
      </c>
      <c r="G205" s="1" t="s">
        <v>212</v>
      </c>
      <c r="H205" s="1"/>
      <c r="I205" s="1" t="s">
        <v>531</v>
      </c>
      <c r="J205" s="1" t="s">
        <v>1750</v>
      </c>
    </row>
    <row r="206" spans="1:10">
      <c r="A206" s="1" t="s">
        <v>1214</v>
      </c>
      <c r="B206" s="1" t="s">
        <v>1215</v>
      </c>
      <c r="C206" s="1" t="s">
        <v>531</v>
      </c>
      <c r="D206" s="1" t="s">
        <v>733</v>
      </c>
      <c r="E206" s="1" t="s">
        <v>258</v>
      </c>
      <c r="F206" s="1" t="s">
        <v>1747</v>
      </c>
      <c r="G206" s="1" t="s">
        <v>80</v>
      </c>
      <c r="H206" s="1"/>
      <c r="I206" s="1" t="s">
        <v>531</v>
      </c>
      <c r="J206" s="1" t="s">
        <v>1748</v>
      </c>
    </row>
    <row r="207" spans="1:10">
      <c r="A207" s="1" t="s">
        <v>1214</v>
      </c>
      <c r="B207" s="1" t="s">
        <v>1215</v>
      </c>
      <c r="C207" s="1" t="s">
        <v>1749</v>
      </c>
      <c r="D207" s="1" t="s">
        <v>733</v>
      </c>
      <c r="E207" s="1" t="s">
        <v>105</v>
      </c>
      <c r="F207" s="1" t="s">
        <v>106</v>
      </c>
      <c r="G207" s="1" t="s">
        <v>84</v>
      </c>
      <c r="H207" s="1"/>
      <c r="I207" s="1" t="s">
        <v>531</v>
      </c>
      <c r="J207" s="1" t="s">
        <v>1750</v>
      </c>
    </row>
    <row r="208" spans="1:10">
      <c r="A208" s="1" t="s">
        <v>1226</v>
      </c>
      <c r="B208" s="1" t="s">
        <v>1227</v>
      </c>
      <c r="C208" s="1" t="s">
        <v>531</v>
      </c>
      <c r="D208" s="1" t="s">
        <v>1065</v>
      </c>
      <c r="E208" s="1" t="s">
        <v>105</v>
      </c>
      <c r="F208" s="1" t="s">
        <v>1747</v>
      </c>
      <c r="G208" s="1" t="s">
        <v>84</v>
      </c>
      <c r="H208" s="1"/>
      <c r="I208" s="1" t="s">
        <v>531</v>
      </c>
      <c r="J208" s="1" t="s">
        <v>1748</v>
      </c>
    </row>
    <row r="209" spans="1:10">
      <c r="A209" s="1" t="s">
        <v>1226</v>
      </c>
      <c r="B209" s="1" t="s">
        <v>1227</v>
      </c>
      <c r="C209" s="1" t="s">
        <v>1749</v>
      </c>
      <c r="D209" s="1" t="s">
        <v>1065</v>
      </c>
      <c r="E209" s="1" t="s">
        <v>258</v>
      </c>
      <c r="F209" s="1" t="s">
        <v>643</v>
      </c>
      <c r="G209" s="1" t="s">
        <v>212</v>
      </c>
      <c r="H209" s="1"/>
      <c r="I209" s="1" t="s">
        <v>531</v>
      </c>
      <c r="J209" s="1" t="s">
        <v>1750</v>
      </c>
    </row>
    <row r="210" spans="1:10">
      <c r="A210" s="1" t="s">
        <v>1239</v>
      </c>
      <c r="B210" s="1" t="s">
        <v>1240</v>
      </c>
      <c r="C210" s="1" t="s">
        <v>531</v>
      </c>
      <c r="D210" s="1" t="s">
        <v>733</v>
      </c>
      <c r="E210" s="1" t="s">
        <v>258</v>
      </c>
      <c r="F210" s="1" t="s">
        <v>1747</v>
      </c>
      <c r="G210" s="1" t="s">
        <v>80</v>
      </c>
      <c r="H210" s="1"/>
      <c r="I210" s="1" t="s">
        <v>531</v>
      </c>
      <c r="J210" s="1" t="s">
        <v>1748</v>
      </c>
    </row>
    <row r="211" spans="1:10">
      <c r="A211" s="1" t="s">
        <v>1239</v>
      </c>
      <c r="B211" s="1" t="s">
        <v>1240</v>
      </c>
      <c r="C211" s="1" t="s">
        <v>1749</v>
      </c>
      <c r="D211" s="1" t="s">
        <v>733</v>
      </c>
      <c r="E211" s="1" t="s">
        <v>105</v>
      </c>
      <c r="F211" s="1" t="s">
        <v>106</v>
      </c>
      <c r="G211" s="1" t="s">
        <v>84</v>
      </c>
      <c r="H211" s="1"/>
      <c r="I211" s="1" t="s">
        <v>531</v>
      </c>
      <c r="J211" s="1" t="s">
        <v>1750</v>
      </c>
    </row>
    <row r="212" spans="1:10">
      <c r="A212" s="1" t="s">
        <v>1248</v>
      </c>
      <c r="B212" s="1" t="s">
        <v>1249</v>
      </c>
      <c r="C212" s="1" t="s">
        <v>531</v>
      </c>
      <c r="D212" s="1" t="s">
        <v>641</v>
      </c>
      <c r="E212" s="1" t="s">
        <v>105</v>
      </c>
      <c r="F212" s="1" t="s">
        <v>1747</v>
      </c>
      <c r="G212" s="1" t="s">
        <v>212</v>
      </c>
      <c r="H212" s="1"/>
      <c r="I212" s="1" t="s">
        <v>531</v>
      </c>
      <c r="J212" s="1" t="s">
        <v>1748</v>
      </c>
    </row>
    <row r="213" spans="1:10">
      <c r="A213" s="1" t="s">
        <v>1248</v>
      </c>
      <c r="B213" s="1" t="s">
        <v>1249</v>
      </c>
      <c r="C213" s="1" t="s">
        <v>1749</v>
      </c>
      <c r="D213" s="1" t="s">
        <v>641</v>
      </c>
      <c r="E213" s="1" t="s">
        <v>258</v>
      </c>
      <c r="F213" s="1" t="s">
        <v>643</v>
      </c>
      <c r="G213" s="1" t="s">
        <v>212</v>
      </c>
      <c r="H213" s="1"/>
      <c r="I213" s="1" t="s">
        <v>531</v>
      </c>
      <c r="J213" s="1" t="s">
        <v>1750</v>
      </c>
    </row>
    <row r="214" spans="1:10">
      <c r="A214" s="1" t="s">
        <v>1261</v>
      </c>
      <c r="B214" s="1" t="s">
        <v>1262</v>
      </c>
      <c r="C214" s="1" t="s">
        <v>531</v>
      </c>
      <c r="D214" s="1" t="s">
        <v>641</v>
      </c>
      <c r="E214" s="1" t="s">
        <v>105</v>
      </c>
      <c r="F214" s="1" t="s">
        <v>1747</v>
      </c>
      <c r="G214" s="1" t="s">
        <v>212</v>
      </c>
      <c r="H214" s="1"/>
      <c r="I214" s="1" t="s">
        <v>531</v>
      </c>
      <c r="J214" s="1" t="s">
        <v>1748</v>
      </c>
    </row>
    <row r="215" spans="1:10">
      <c r="A215" s="1" t="s">
        <v>1261</v>
      </c>
      <c r="B215" s="1" t="s">
        <v>1262</v>
      </c>
      <c r="C215" s="1" t="s">
        <v>1749</v>
      </c>
      <c r="D215" s="1" t="s">
        <v>641</v>
      </c>
      <c r="E215" s="1" t="s">
        <v>258</v>
      </c>
      <c r="F215" s="1" t="s">
        <v>643</v>
      </c>
      <c r="G215" s="1" t="s">
        <v>212</v>
      </c>
      <c r="H215" s="1"/>
      <c r="I215" s="1" t="s">
        <v>531</v>
      </c>
      <c r="J215" s="1" t="s">
        <v>1750</v>
      </c>
    </row>
    <row r="216" spans="1:10">
      <c r="A216" s="1" t="s">
        <v>1272</v>
      </c>
      <c r="B216" s="1" t="s">
        <v>1273</v>
      </c>
      <c r="C216" s="1" t="s">
        <v>531</v>
      </c>
      <c r="D216" s="1" t="s">
        <v>1117</v>
      </c>
      <c r="E216" s="1" t="s">
        <v>258</v>
      </c>
      <c r="F216" s="1" t="s">
        <v>1747</v>
      </c>
      <c r="G216" s="1" t="s">
        <v>80</v>
      </c>
      <c r="H216" s="1"/>
      <c r="I216" s="1" t="s">
        <v>531</v>
      </c>
      <c r="J216" s="1" t="s">
        <v>1748</v>
      </c>
    </row>
    <row r="217" spans="1:10">
      <c r="A217" s="1" t="s">
        <v>1272</v>
      </c>
      <c r="B217" s="1" t="s">
        <v>1273</v>
      </c>
      <c r="C217" s="1" t="s">
        <v>1749</v>
      </c>
      <c r="D217" s="1" t="s">
        <v>1117</v>
      </c>
      <c r="E217" s="1" t="s">
        <v>258</v>
      </c>
      <c r="F217" s="1" t="s">
        <v>213</v>
      </c>
      <c r="G217" s="1" t="s">
        <v>212</v>
      </c>
      <c r="H217" s="1"/>
      <c r="I217" s="1" t="s">
        <v>531</v>
      </c>
      <c r="J217" s="1" t="s">
        <v>1750</v>
      </c>
    </row>
    <row r="218" spans="1:10">
      <c r="A218" s="1" t="s">
        <v>1282</v>
      </c>
      <c r="B218" s="1" t="s">
        <v>1283</v>
      </c>
      <c r="C218" s="1" t="s">
        <v>531</v>
      </c>
      <c r="D218" s="1" t="s">
        <v>1286</v>
      </c>
      <c r="E218" s="1" t="s">
        <v>258</v>
      </c>
      <c r="F218" s="1" t="s">
        <v>1747</v>
      </c>
      <c r="G218" s="1" t="s">
        <v>80</v>
      </c>
      <c r="H218" s="1"/>
      <c r="I218" s="1" t="s">
        <v>531</v>
      </c>
      <c r="J218" s="1" t="s">
        <v>1748</v>
      </c>
    </row>
    <row r="219" spans="1:10">
      <c r="A219" s="1" t="s">
        <v>1282</v>
      </c>
      <c r="B219" s="1" t="s">
        <v>1283</v>
      </c>
      <c r="C219" s="1" t="s">
        <v>1749</v>
      </c>
      <c r="D219" s="1" t="s">
        <v>1286</v>
      </c>
      <c r="E219" s="1" t="s">
        <v>258</v>
      </c>
      <c r="F219" s="1" t="s">
        <v>106</v>
      </c>
      <c r="G219" s="1" t="s">
        <v>212</v>
      </c>
      <c r="H219" s="1"/>
      <c r="I219" s="1" t="s">
        <v>531</v>
      </c>
      <c r="J219" s="1" t="s">
        <v>1750</v>
      </c>
    </row>
    <row r="220" spans="1:10">
      <c r="A220" s="1" t="s">
        <v>1295</v>
      </c>
      <c r="B220" s="1" t="s">
        <v>1296</v>
      </c>
      <c r="C220" s="1" t="s">
        <v>531</v>
      </c>
      <c r="D220" s="1" t="s">
        <v>1065</v>
      </c>
      <c r="E220" s="1" t="s">
        <v>354</v>
      </c>
      <c r="F220" s="1" t="s">
        <v>1747</v>
      </c>
      <c r="G220" s="1" t="s">
        <v>80</v>
      </c>
      <c r="H220" s="1"/>
      <c r="I220" s="1" t="s">
        <v>531</v>
      </c>
      <c r="J220" s="1" t="s">
        <v>1748</v>
      </c>
    </row>
    <row r="221" spans="1:10">
      <c r="A221" s="1" t="s">
        <v>1295</v>
      </c>
      <c r="B221" s="1" t="s">
        <v>1296</v>
      </c>
      <c r="C221" s="1" t="s">
        <v>1749</v>
      </c>
      <c r="D221" s="1" t="s">
        <v>1065</v>
      </c>
      <c r="E221" s="1" t="s">
        <v>354</v>
      </c>
      <c r="F221" s="1" t="s">
        <v>643</v>
      </c>
      <c r="G221" s="1" t="s">
        <v>212</v>
      </c>
      <c r="H221" s="1"/>
      <c r="I221" s="1" t="s">
        <v>531</v>
      </c>
      <c r="J221" s="1" t="s">
        <v>1750</v>
      </c>
    </row>
    <row r="222" spans="1:10">
      <c r="A222" s="1" t="s">
        <v>1308</v>
      </c>
      <c r="B222" s="1" t="s">
        <v>1309</v>
      </c>
      <c r="C222" s="1" t="s">
        <v>531</v>
      </c>
      <c r="D222" s="1" t="s">
        <v>1286</v>
      </c>
      <c r="E222" s="1" t="s">
        <v>354</v>
      </c>
      <c r="F222" s="1" t="s">
        <v>1747</v>
      </c>
      <c r="G222" s="1" t="s">
        <v>80</v>
      </c>
      <c r="H222" s="1"/>
      <c r="I222" s="1" t="s">
        <v>531</v>
      </c>
      <c r="J222" s="1" t="s">
        <v>1748</v>
      </c>
    </row>
    <row r="223" spans="1:10">
      <c r="A223" s="1" t="s">
        <v>1308</v>
      </c>
      <c r="B223" s="1" t="s">
        <v>1309</v>
      </c>
      <c r="C223" s="1" t="s">
        <v>1749</v>
      </c>
      <c r="D223" s="1" t="s">
        <v>1286</v>
      </c>
      <c r="E223" s="1" t="s">
        <v>354</v>
      </c>
      <c r="F223" s="1" t="s">
        <v>106</v>
      </c>
      <c r="G223" s="1" t="s">
        <v>212</v>
      </c>
      <c r="H223" s="1"/>
      <c r="I223" s="1" t="s">
        <v>531</v>
      </c>
      <c r="J223" s="1" t="s">
        <v>1750</v>
      </c>
    </row>
    <row r="224" spans="1:10">
      <c r="A224" s="1" t="s">
        <v>1319</v>
      </c>
      <c r="B224" s="1" t="s">
        <v>1320</v>
      </c>
      <c r="C224" s="1" t="s">
        <v>531</v>
      </c>
      <c r="D224" s="1" t="s">
        <v>209</v>
      </c>
      <c r="E224" s="1" t="s">
        <v>354</v>
      </c>
      <c r="F224" s="1" t="s">
        <v>1747</v>
      </c>
      <c r="G224" s="1" t="s">
        <v>80</v>
      </c>
      <c r="H224" s="1"/>
      <c r="I224" s="1" t="s">
        <v>531</v>
      </c>
      <c r="J224" s="1" t="s">
        <v>1748</v>
      </c>
    </row>
    <row r="225" spans="1:10">
      <c r="A225" s="1" t="s">
        <v>1319</v>
      </c>
      <c r="B225" s="1" t="s">
        <v>1320</v>
      </c>
      <c r="C225" s="1" t="s">
        <v>1749</v>
      </c>
      <c r="D225" s="1" t="s">
        <v>209</v>
      </c>
      <c r="E225" s="1" t="s">
        <v>354</v>
      </c>
      <c r="F225" s="1" t="s">
        <v>213</v>
      </c>
      <c r="G225" s="1" t="s">
        <v>212</v>
      </c>
      <c r="H225" s="1"/>
      <c r="I225" s="1" t="s">
        <v>531</v>
      </c>
      <c r="J225" s="1" t="s">
        <v>1750</v>
      </c>
    </row>
    <row r="226" spans="1:10">
      <c r="A226" s="1" t="s">
        <v>1330</v>
      </c>
      <c r="B226" s="1" t="s">
        <v>1331</v>
      </c>
      <c r="C226" s="1" t="s">
        <v>531</v>
      </c>
      <c r="D226" s="1" t="s">
        <v>733</v>
      </c>
      <c r="E226" s="1" t="s">
        <v>1755</v>
      </c>
      <c r="F226" s="1" t="s">
        <v>1756</v>
      </c>
      <c r="G226" s="1" t="s">
        <v>80</v>
      </c>
      <c r="H226" s="1"/>
      <c r="I226" s="1" t="s">
        <v>531</v>
      </c>
      <c r="J226" s="1" t="s">
        <v>1770</v>
      </c>
    </row>
    <row r="227" spans="1:10">
      <c r="A227" s="1" t="s">
        <v>1343</v>
      </c>
      <c r="B227" s="1" t="s">
        <v>1344</v>
      </c>
      <c r="C227" s="1" t="s">
        <v>531</v>
      </c>
      <c r="D227" s="1" t="s">
        <v>163</v>
      </c>
      <c r="E227" s="1" t="s">
        <v>1755</v>
      </c>
      <c r="F227" s="1" t="s">
        <v>1756</v>
      </c>
      <c r="G227" s="1" t="s">
        <v>80</v>
      </c>
      <c r="H227" s="1"/>
      <c r="I227" s="1" t="s">
        <v>531</v>
      </c>
      <c r="J227" s="1" t="s">
        <v>1771</v>
      </c>
    </row>
    <row r="228" spans="1:10">
      <c r="A228" s="1" t="s">
        <v>1356</v>
      </c>
      <c r="B228" s="1" t="s">
        <v>1357</v>
      </c>
      <c r="C228" s="1" t="s">
        <v>531</v>
      </c>
      <c r="D228" s="1" t="s">
        <v>733</v>
      </c>
      <c r="E228" s="1" t="s">
        <v>1755</v>
      </c>
      <c r="F228" s="1" t="s">
        <v>1756</v>
      </c>
      <c r="G228" s="1" t="s">
        <v>80</v>
      </c>
      <c r="H228" s="1"/>
      <c r="I228" s="1" t="s">
        <v>531</v>
      </c>
      <c r="J228" s="1" t="s">
        <v>1770</v>
      </c>
    </row>
    <row r="229" spans="1:10">
      <c r="A229" s="1" t="s">
        <v>1367</v>
      </c>
      <c r="B229" s="1" t="s">
        <v>1368</v>
      </c>
      <c r="C229" s="1" t="s">
        <v>531</v>
      </c>
      <c r="D229" s="1" t="s">
        <v>209</v>
      </c>
      <c r="E229" s="1" t="s">
        <v>1755</v>
      </c>
      <c r="F229" s="1" t="s">
        <v>1756</v>
      </c>
      <c r="G229" s="1" t="s">
        <v>80</v>
      </c>
      <c r="H229" s="1"/>
      <c r="I229" s="1" t="s">
        <v>531</v>
      </c>
      <c r="J229" s="1" t="s">
        <v>1772</v>
      </c>
    </row>
    <row r="230" spans="1:10">
      <c r="A230" s="1" t="s">
        <v>1380</v>
      </c>
      <c r="B230" s="1" t="s">
        <v>1381</v>
      </c>
      <c r="C230" s="1" t="s">
        <v>531</v>
      </c>
      <c r="D230" s="1" t="s">
        <v>497</v>
      </c>
      <c r="E230" s="1" t="s">
        <v>1755</v>
      </c>
      <c r="F230" s="1" t="s">
        <v>1756</v>
      </c>
      <c r="G230" s="1" t="s">
        <v>80</v>
      </c>
      <c r="H230" s="1"/>
      <c r="I230" s="1" t="s">
        <v>531</v>
      </c>
      <c r="J230" s="1" t="s">
        <v>1762</v>
      </c>
    </row>
    <row r="231" spans="1:10">
      <c r="A231" s="1" t="s">
        <v>1393</v>
      </c>
      <c r="B231" s="1" t="s">
        <v>1394</v>
      </c>
      <c r="C231" s="1" t="s">
        <v>531</v>
      </c>
      <c r="D231" s="1" t="s">
        <v>497</v>
      </c>
      <c r="E231" s="1" t="s">
        <v>1755</v>
      </c>
      <c r="F231" s="1" t="s">
        <v>1756</v>
      </c>
      <c r="G231" s="1" t="s">
        <v>80</v>
      </c>
      <c r="H231" s="1"/>
      <c r="I231" s="1" t="s">
        <v>531</v>
      </c>
      <c r="J231" s="1" t="s">
        <v>1773</v>
      </c>
    </row>
    <row r="232" spans="1:10">
      <c r="A232" s="1" t="s">
        <v>1407</v>
      </c>
      <c r="B232" s="1" t="s">
        <v>1036</v>
      </c>
      <c r="C232" s="1" t="s">
        <v>500</v>
      </c>
      <c r="D232" s="1" t="s">
        <v>733</v>
      </c>
      <c r="E232" s="1" t="s">
        <v>104</v>
      </c>
      <c r="F232" s="1" t="s">
        <v>1747</v>
      </c>
      <c r="G232" s="1" t="s">
        <v>84</v>
      </c>
      <c r="H232" s="1"/>
      <c r="I232" s="1" t="s">
        <v>500</v>
      </c>
      <c r="J232" s="1" t="s">
        <v>1748</v>
      </c>
    </row>
    <row r="233" spans="1:10">
      <c r="A233" s="1" t="s">
        <v>1407</v>
      </c>
      <c r="B233" s="1" t="s">
        <v>1036</v>
      </c>
      <c r="C233" s="1" t="s">
        <v>1749</v>
      </c>
      <c r="D233" s="1" t="s">
        <v>733</v>
      </c>
      <c r="E233" s="1" t="s">
        <v>104</v>
      </c>
      <c r="F233" s="1" t="s">
        <v>106</v>
      </c>
      <c r="G233" s="1" t="s">
        <v>84</v>
      </c>
      <c r="H233" s="1"/>
      <c r="I233" s="1" t="s">
        <v>500</v>
      </c>
      <c r="J233" s="1" t="s">
        <v>1750</v>
      </c>
    </row>
    <row r="234" spans="1:10">
      <c r="A234" s="1" t="s">
        <v>1416</v>
      </c>
      <c r="B234" s="1" t="s">
        <v>1101</v>
      </c>
      <c r="C234" s="1" t="s">
        <v>500</v>
      </c>
      <c r="D234" s="1" t="s">
        <v>733</v>
      </c>
      <c r="E234" s="1" t="s">
        <v>104</v>
      </c>
      <c r="F234" s="1" t="s">
        <v>1747</v>
      </c>
      <c r="G234" s="1" t="s">
        <v>84</v>
      </c>
      <c r="H234" s="1"/>
      <c r="I234" s="1" t="s">
        <v>500</v>
      </c>
      <c r="J234" s="1" t="s">
        <v>1748</v>
      </c>
    </row>
    <row r="235" spans="1:10">
      <c r="A235" s="1" t="s">
        <v>1416</v>
      </c>
      <c r="B235" s="1" t="s">
        <v>1101</v>
      </c>
      <c r="C235" s="1" t="s">
        <v>1749</v>
      </c>
      <c r="D235" s="1" t="s">
        <v>733</v>
      </c>
      <c r="E235" s="1" t="s">
        <v>104</v>
      </c>
      <c r="F235" s="1" t="s">
        <v>106</v>
      </c>
      <c r="G235" s="1" t="s">
        <v>84</v>
      </c>
      <c r="H235" s="1"/>
      <c r="I235" s="1" t="s">
        <v>500</v>
      </c>
      <c r="J235" s="1" t="s">
        <v>1750</v>
      </c>
    </row>
    <row r="236" spans="1:10">
      <c r="A236" s="1" t="s">
        <v>1424</v>
      </c>
      <c r="B236" s="1" t="s">
        <v>1425</v>
      </c>
      <c r="C236" s="1" t="s">
        <v>500</v>
      </c>
      <c r="D236" s="1" t="s">
        <v>497</v>
      </c>
      <c r="E236" s="1" t="s">
        <v>1765</v>
      </c>
      <c r="F236" s="1" t="s">
        <v>556</v>
      </c>
      <c r="G236" s="1" t="s">
        <v>1745</v>
      </c>
      <c r="H236" s="1"/>
      <c r="I236" s="1" t="s">
        <v>500</v>
      </c>
      <c r="J236" s="1" t="s">
        <v>1766</v>
      </c>
    </row>
    <row r="237" spans="1:10">
      <c r="A237" s="1" t="s">
        <v>1436</v>
      </c>
      <c r="B237" s="1" t="s">
        <v>1437</v>
      </c>
      <c r="C237" s="1" t="s">
        <v>500</v>
      </c>
      <c r="D237" s="1" t="s">
        <v>497</v>
      </c>
      <c r="E237" s="1" t="s">
        <v>1765</v>
      </c>
      <c r="F237" s="1" t="s">
        <v>556</v>
      </c>
      <c r="G237" s="1" t="s">
        <v>1745</v>
      </c>
      <c r="H237" s="1"/>
      <c r="I237" s="1" t="s">
        <v>500</v>
      </c>
      <c r="J237" s="1" t="s">
        <v>1766</v>
      </c>
    </row>
    <row r="238" spans="1:10">
      <c r="A238" s="1" t="s">
        <v>1446</v>
      </c>
      <c r="B238" s="1" t="s">
        <v>1447</v>
      </c>
      <c r="C238" s="1" t="s">
        <v>500</v>
      </c>
      <c r="D238" s="1" t="s">
        <v>1451</v>
      </c>
      <c r="E238" s="1" t="s">
        <v>104</v>
      </c>
      <c r="F238" s="1" t="s">
        <v>1747</v>
      </c>
      <c r="G238" s="1" t="s">
        <v>84</v>
      </c>
      <c r="H238" s="1"/>
      <c r="I238" s="1" t="s">
        <v>500</v>
      </c>
      <c r="J238" s="1" t="s">
        <v>1748</v>
      </c>
    </row>
    <row r="239" spans="1:10">
      <c r="A239" s="1" t="s">
        <v>1446</v>
      </c>
      <c r="B239" s="1" t="s">
        <v>1447</v>
      </c>
      <c r="C239" s="1" t="s">
        <v>1749</v>
      </c>
      <c r="D239" s="1" t="s">
        <v>1451</v>
      </c>
      <c r="E239" s="1" t="s">
        <v>105</v>
      </c>
      <c r="F239" s="1" t="s">
        <v>106</v>
      </c>
      <c r="G239" s="1" t="s">
        <v>84</v>
      </c>
      <c r="H239" s="1"/>
      <c r="I239" s="1" t="s">
        <v>500</v>
      </c>
      <c r="J239" s="1" t="s">
        <v>1750</v>
      </c>
    </row>
    <row r="240" spans="1:10">
      <c r="A240" s="1" t="s">
        <v>1461</v>
      </c>
      <c r="B240" s="1" t="s">
        <v>1462</v>
      </c>
      <c r="C240" s="1" t="s">
        <v>500</v>
      </c>
      <c r="D240" s="1" t="s">
        <v>1451</v>
      </c>
      <c r="E240" s="1" t="s">
        <v>104</v>
      </c>
      <c r="F240" s="1" t="s">
        <v>1747</v>
      </c>
      <c r="G240" s="1" t="s">
        <v>84</v>
      </c>
      <c r="H240" s="1"/>
      <c r="I240" s="1" t="s">
        <v>500</v>
      </c>
      <c r="J240" s="1" t="s">
        <v>1748</v>
      </c>
    </row>
    <row r="241" spans="1:10">
      <c r="A241" s="1" t="s">
        <v>1461</v>
      </c>
      <c r="B241" s="1" t="s">
        <v>1462</v>
      </c>
      <c r="C241" s="1" t="s">
        <v>1749</v>
      </c>
      <c r="D241" s="1" t="s">
        <v>1451</v>
      </c>
      <c r="E241" s="1" t="s">
        <v>105</v>
      </c>
      <c r="F241" s="1" t="s">
        <v>106</v>
      </c>
      <c r="G241" s="1" t="s">
        <v>84</v>
      </c>
      <c r="H241" s="1"/>
      <c r="I241" s="1" t="s">
        <v>500</v>
      </c>
      <c r="J241" s="1" t="s">
        <v>1750</v>
      </c>
    </row>
    <row r="242" spans="1:10">
      <c r="A242" s="1" t="s">
        <v>1472</v>
      </c>
      <c r="B242" s="1" t="s">
        <v>1473</v>
      </c>
      <c r="C242" s="1" t="s">
        <v>500</v>
      </c>
      <c r="D242" s="1" t="s">
        <v>466</v>
      </c>
      <c r="E242" s="1" t="s">
        <v>104</v>
      </c>
      <c r="F242" s="1" t="s">
        <v>1747</v>
      </c>
      <c r="G242" s="1" t="s">
        <v>84</v>
      </c>
      <c r="H242" s="1"/>
      <c r="I242" s="1" t="s">
        <v>500</v>
      </c>
      <c r="J242" s="1" t="s">
        <v>1748</v>
      </c>
    </row>
    <row r="243" spans="1:10">
      <c r="A243" s="1" t="s">
        <v>1472</v>
      </c>
      <c r="B243" s="1" t="s">
        <v>1473</v>
      </c>
      <c r="C243" s="1" t="s">
        <v>1749</v>
      </c>
      <c r="D243" s="1" t="s">
        <v>466</v>
      </c>
      <c r="E243" s="1" t="s">
        <v>105</v>
      </c>
      <c r="F243" s="1" t="s">
        <v>643</v>
      </c>
      <c r="G243" s="1" t="s">
        <v>84</v>
      </c>
      <c r="H243" s="1"/>
      <c r="I243" s="1" t="s">
        <v>500</v>
      </c>
      <c r="J243" s="1" t="s">
        <v>1750</v>
      </c>
    </row>
    <row r="244" spans="1:10">
      <c r="A244" s="1" t="s">
        <v>1484</v>
      </c>
      <c r="B244" s="1" t="s">
        <v>1485</v>
      </c>
      <c r="C244" s="1" t="s">
        <v>500</v>
      </c>
      <c r="D244" s="1" t="s">
        <v>497</v>
      </c>
      <c r="E244" s="1" t="s">
        <v>1765</v>
      </c>
      <c r="F244" s="1" t="s">
        <v>556</v>
      </c>
      <c r="G244" s="1" t="s">
        <v>1745</v>
      </c>
      <c r="H244" s="1"/>
      <c r="I244" s="1" t="s">
        <v>500</v>
      </c>
      <c r="J244" s="1" t="s">
        <v>1766</v>
      </c>
    </row>
    <row r="245" spans="1:10">
      <c r="A245" s="1" t="s">
        <v>1499</v>
      </c>
      <c r="B245" s="1" t="s">
        <v>1240</v>
      </c>
      <c r="C245" s="1" t="s">
        <v>500</v>
      </c>
      <c r="D245" s="1" t="s">
        <v>733</v>
      </c>
      <c r="E245" s="1" t="s">
        <v>105</v>
      </c>
      <c r="F245" s="1" t="s">
        <v>1747</v>
      </c>
      <c r="G245" s="1" t="s">
        <v>212</v>
      </c>
      <c r="H245" s="1"/>
      <c r="I245" s="1" t="s">
        <v>500</v>
      </c>
      <c r="J245" s="1" t="s">
        <v>1748</v>
      </c>
    </row>
    <row r="246" spans="1:10">
      <c r="A246" s="1" t="s">
        <v>1499</v>
      </c>
      <c r="B246" s="1" t="s">
        <v>1240</v>
      </c>
      <c r="C246" s="1" t="s">
        <v>1749</v>
      </c>
      <c r="D246" s="1" t="s">
        <v>733</v>
      </c>
      <c r="E246" s="1" t="s">
        <v>105</v>
      </c>
      <c r="F246" s="1" t="s">
        <v>106</v>
      </c>
      <c r="G246" s="1" t="s">
        <v>84</v>
      </c>
      <c r="H246" s="1"/>
      <c r="I246" s="1" t="s">
        <v>500</v>
      </c>
      <c r="J246" s="1" t="s">
        <v>1750</v>
      </c>
    </row>
    <row r="247" spans="1:10">
      <c r="A247" s="1" t="s">
        <v>1510</v>
      </c>
      <c r="B247" s="1" t="s">
        <v>462</v>
      </c>
      <c r="C247" s="1" t="s">
        <v>500</v>
      </c>
      <c r="D247" s="1" t="s">
        <v>466</v>
      </c>
      <c r="E247" s="1" t="s">
        <v>105</v>
      </c>
      <c r="F247" s="1" t="s">
        <v>1747</v>
      </c>
      <c r="G247" s="1" t="s">
        <v>84</v>
      </c>
      <c r="H247" s="1"/>
      <c r="I247" s="1" t="s">
        <v>500</v>
      </c>
      <c r="J247" s="1" t="s">
        <v>1748</v>
      </c>
    </row>
    <row r="248" spans="1:10">
      <c r="A248" s="1" t="s">
        <v>1510</v>
      </c>
      <c r="B248" s="1" t="s">
        <v>462</v>
      </c>
      <c r="C248" s="1" t="s">
        <v>1749</v>
      </c>
      <c r="D248" s="1" t="s">
        <v>466</v>
      </c>
      <c r="E248" s="1" t="s">
        <v>258</v>
      </c>
      <c r="F248" s="1" t="s">
        <v>643</v>
      </c>
      <c r="G248" s="1" t="s">
        <v>212</v>
      </c>
      <c r="H248" s="1"/>
      <c r="I248" s="1" t="s">
        <v>500</v>
      </c>
      <c r="J248" s="1" t="s">
        <v>1750</v>
      </c>
    </row>
    <row r="249" spans="1:10">
      <c r="A249" s="1" t="s">
        <v>1519</v>
      </c>
      <c r="B249" s="1" t="s">
        <v>1520</v>
      </c>
      <c r="C249" s="1" t="s">
        <v>500</v>
      </c>
      <c r="D249" s="1" t="s">
        <v>163</v>
      </c>
      <c r="E249" s="1" t="s">
        <v>105</v>
      </c>
      <c r="F249" s="1" t="s">
        <v>1747</v>
      </c>
      <c r="G249" s="1" t="s">
        <v>84</v>
      </c>
      <c r="H249" s="1"/>
      <c r="I249" s="1" t="s">
        <v>500</v>
      </c>
      <c r="J249" s="1" t="s">
        <v>1748</v>
      </c>
    </row>
    <row r="250" spans="1:10">
      <c r="A250" s="1" t="s">
        <v>1519</v>
      </c>
      <c r="B250" s="1" t="s">
        <v>1520</v>
      </c>
      <c r="C250" s="1" t="s">
        <v>1749</v>
      </c>
      <c r="D250" s="1" t="s">
        <v>163</v>
      </c>
      <c r="E250" s="1" t="s">
        <v>105</v>
      </c>
      <c r="F250" s="1" t="s">
        <v>106</v>
      </c>
      <c r="G250" s="1" t="s">
        <v>84</v>
      </c>
      <c r="H250" s="1"/>
      <c r="I250" s="1" t="s">
        <v>500</v>
      </c>
      <c r="J250" s="1" t="s">
        <v>1750</v>
      </c>
    </row>
    <row r="251" spans="1:10">
      <c r="A251" s="1" t="s">
        <v>1533</v>
      </c>
      <c r="B251" s="1" t="s">
        <v>1534</v>
      </c>
      <c r="C251" s="1" t="s">
        <v>500</v>
      </c>
      <c r="D251" s="1" t="s">
        <v>733</v>
      </c>
      <c r="E251" s="1" t="s">
        <v>105</v>
      </c>
      <c r="F251" s="1" t="s">
        <v>1747</v>
      </c>
      <c r="G251" s="1" t="s">
        <v>84</v>
      </c>
      <c r="H251" s="1"/>
      <c r="I251" s="1" t="s">
        <v>500</v>
      </c>
      <c r="J251" s="1" t="s">
        <v>1748</v>
      </c>
    </row>
    <row r="252" spans="1:10">
      <c r="A252" s="1" t="s">
        <v>1533</v>
      </c>
      <c r="B252" s="1" t="s">
        <v>1534</v>
      </c>
      <c r="C252" s="1" t="s">
        <v>1749</v>
      </c>
      <c r="D252" s="1" t="s">
        <v>733</v>
      </c>
      <c r="E252" s="1" t="s">
        <v>105</v>
      </c>
      <c r="F252" s="1" t="s">
        <v>106</v>
      </c>
      <c r="G252" s="1" t="s">
        <v>84</v>
      </c>
      <c r="H252" s="1"/>
      <c r="I252" s="1" t="s">
        <v>500</v>
      </c>
      <c r="J252" s="1" t="s">
        <v>1750</v>
      </c>
    </row>
    <row r="253" spans="1:10">
      <c r="A253" s="1" t="s">
        <v>1544</v>
      </c>
      <c r="B253" s="1" t="s">
        <v>1545</v>
      </c>
      <c r="C253" s="1" t="s">
        <v>500</v>
      </c>
      <c r="D253" s="1" t="s">
        <v>397</v>
      </c>
      <c r="E253" s="1" t="s">
        <v>105</v>
      </c>
      <c r="F253" s="1" t="s">
        <v>1747</v>
      </c>
      <c r="G253" s="1" t="s">
        <v>84</v>
      </c>
      <c r="H253" s="1"/>
      <c r="I253" s="1" t="s">
        <v>500</v>
      </c>
      <c r="J253" s="1" t="s">
        <v>1748</v>
      </c>
    </row>
    <row r="254" spans="1:10">
      <c r="A254" s="1" t="s">
        <v>1544</v>
      </c>
      <c r="B254" s="1" t="s">
        <v>1545</v>
      </c>
      <c r="C254" s="1" t="s">
        <v>1749</v>
      </c>
      <c r="D254" s="1" t="s">
        <v>397</v>
      </c>
      <c r="E254" s="1" t="s">
        <v>105</v>
      </c>
      <c r="F254" s="1" t="s">
        <v>106</v>
      </c>
      <c r="G254" s="1" t="s">
        <v>84</v>
      </c>
      <c r="H254" s="1"/>
      <c r="I254" s="1" t="s">
        <v>500</v>
      </c>
      <c r="J254" s="1" t="s">
        <v>1750</v>
      </c>
    </row>
    <row r="255" spans="1:10">
      <c r="A255" s="1" t="s">
        <v>1555</v>
      </c>
      <c r="B255" s="1" t="s">
        <v>686</v>
      </c>
      <c r="C255" s="1" t="s">
        <v>500</v>
      </c>
      <c r="D255" s="1" t="s">
        <v>1286</v>
      </c>
      <c r="E255" s="1" t="s">
        <v>258</v>
      </c>
      <c r="F255" s="1" t="s">
        <v>1747</v>
      </c>
      <c r="G255" s="1" t="s">
        <v>80</v>
      </c>
      <c r="H255" s="1"/>
      <c r="I255" s="1" t="s">
        <v>500</v>
      </c>
      <c r="J255" s="1" t="s">
        <v>1748</v>
      </c>
    </row>
    <row r="256" spans="1:10">
      <c r="A256" s="1" t="s">
        <v>1555</v>
      </c>
      <c r="B256" s="1" t="s">
        <v>686</v>
      </c>
      <c r="C256" s="1" t="s">
        <v>1749</v>
      </c>
      <c r="D256" s="1" t="s">
        <v>1286</v>
      </c>
      <c r="E256" s="1" t="s">
        <v>258</v>
      </c>
      <c r="F256" s="1" t="s">
        <v>106</v>
      </c>
      <c r="G256" s="1" t="s">
        <v>212</v>
      </c>
      <c r="H256" s="1"/>
      <c r="I256" s="1" t="s">
        <v>500</v>
      </c>
      <c r="J256" s="1" t="s">
        <v>1750</v>
      </c>
    </row>
    <row r="257" spans="1:10">
      <c r="A257" s="1" t="s">
        <v>1564</v>
      </c>
      <c r="B257" s="1" t="s">
        <v>698</v>
      </c>
      <c r="C257" s="1" t="s">
        <v>500</v>
      </c>
      <c r="D257" s="1" t="s">
        <v>1286</v>
      </c>
      <c r="E257" s="1" t="s">
        <v>258</v>
      </c>
      <c r="F257" s="1" t="s">
        <v>1747</v>
      </c>
      <c r="G257" s="1" t="s">
        <v>80</v>
      </c>
      <c r="H257" s="1"/>
      <c r="I257" s="1" t="s">
        <v>500</v>
      </c>
      <c r="J257" s="1" t="s">
        <v>1748</v>
      </c>
    </row>
    <row r="258" spans="1:10">
      <c r="A258" s="1" t="s">
        <v>1564</v>
      </c>
      <c r="B258" s="1" t="s">
        <v>698</v>
      </c>
      <c r="C258" s="1" t="s">
        <v>1749</v>
      </c>
      <c r="D258" s="1" t="s">
        <v>1286</v>
      </c>
      <c r="E258" s="1" t="s">
        <v>258</v>
      </c>
      <c r="F258" s="1" t="s">
        <v>106</v>
      </c>
      <c r="G258" s="1" t="s">
        <v>212</v>
      </c>
      <c r="H258" s="1"/>
      <c r="I258" s="1" t="s">
        <v>500</v>
      </c>
      <c r="J258" s="1" t="s">
        <v>1750</v>
      </c>
    </row>
    <row r="259" spans="1:10">
      <c r="A259" s="1" t="s">
        <v>1572</v>
      </c>
      <c r="B259" s="1" t="s">
        <v>1573</v>
      </c>
      <c r="C259" s="1" t="s">
        <v>500</v>
      </c>
      <c r="D259" s="1" t="s">
        <v>1286</v>
      </c>
      <c r="E259" s="1" t="s">
        <v>258</v>
      </c>
      <c r="F259" s="1" t="s">
        <v>1747</v>
      </c>
      <c r="G259" s="1" t="s">
        <v>80</v>
      </c>
      <c r="H259" s="1"/>
      <c r="I259" s="1" t="s">
        <v>500</v>
      </c>
      <c r="J259" s="1" t="s">
        <v>1748</v>
      </c>
    </row>
    <row r="260" spans="1:10">
      <c r="A260" s="1" t="s">
        <v>1572</v>
      </c>
      <c r="B260" s="1" t="s">
        <v>1573</v>
      </c>
      <c r="C260" s="1" t="s">
        <v>1749</v>
      </c>
      <c r="D260" s="1" t="s">
        <v>1286</v>
      </c>
      <c r="E260" s="1" t="s">
        <v>258</v>
      </c>
      <c r="F260" s="1" t="s">
        <v>106</v>
      </c>
      <c r="G260" s="1" t="s">
        <v>212</v>
      </c>
      <c r="H260" s="1"/>
      <c r="I260" s="1" t="s">
        <v>500</v>
      </c>
      <c r="J260" s="1" t="s">
        <v>1750</v>
      </c>
    </row>
    <row r="261" spans="1:10">
      <c r="A261" s="1" t="s">
        <v>1585</v>
      </c>
      <c r="B261" s="1" t="s">
        <v>718</v>
      </c>
      <c r="C261" s="1" t="s">
        <v>500</v>
      </c>
      <c r="D261" s="1" t="s">
        <v>209</v>
      </c>
      <c r="E261" s="1" t="s">
        <v>258</v>
      </c>
      <c r="F261" s="1" t="s">
        <v>1747</v>
      </c>
      <c r="G261" s="1" t="s">
        <v>80</v>
      </c>
      <c r="H261" s="1"/>
      <c r="I261" s="1" t="s">
        <v>500</v>
      </c>
      <c r="J261" s="1" t="s">
        <v>1748</v>
      </c>
    </row>
    <row r="262" spans="1:10">
      <c r="A262" s="1" t="s">
        <v>1585</v>
      </c>
      <c r="B262" s="1" t="s">
        <v>718</v>
      </c>
      <c r="C262" s="1" t="s">
        <v>1749</v>
      </c>
      <c r="D262" s="1" t="s">
        <v>209</v>
      </c>
      <c r="E262" s="1" t="s">
        <v>258</v>
      </c>
      <c r="F262" s="1" t="s">
        <v>213</v>
      </c>
      <c r="G262" s="1" t="s">
        <v>212</v>
      </c>
      <c r="H262" s="1"/>
      <c r="I262" s="1" t="s">
        <v>500</v>
      </c>
      <c r="J262" s="1" t="s">
        <v>1750</v>
      </c>
    </row>
    <row r="263" spans="1:10">
      <c r="A263" s="1" t="s">
        <v>1594</v>
      </c>
      <c r="B263" s="1" t="s">
        <v>177</v>
      </c>
      <c r="C263" s="1" t="s">
        <v>500</v>
      </c>
      <c r="D263" s="1" t="s">
        <v>163</v>
      </c>
      <c r="E263" s="1" t="s">
        <v>105</v>
      </c>
      <c r="F263" s="1" t="s">
        <v>1747</v>
      </c>
      <c r="G263" s="1" t="s">
        <v>84</v>
      </c>
      <c r="H263" s="1"/>
      <c r="I263" s="1" t="s">
        <v>500</v>
      </c>
      <c r="J263" s="1" t="s">
        <v>1748</v>
      </c>
    </row>
    <row r="264" spans="1:10">
      <c r="A264" s="1" t="s">
        <v>1594</v>
      </c>
      <c r="B264" s="1" t="s">
        <v>177</v>
      </c>
      <c r="C264" s="1" t="s">
        <v>1749</v>
      </c>
      <c r="D264" s="1" t="s">
        <v>163</v>
      </c>
      <c r="E264" s="1" t="s">
        <v>104</v>
      </c>
      <c r="F264" s="1" t="s">
        <v>106</v>
      </c>
      <c r="G264" s="1" t="s">
        <v>84</v>
      </c>
      <c r="H264" s="1"/>
      <c r="I264" s="1" t="s">
        <v>500</v>
      </c>
      <c r="J264" s="1" t="s">
        <v>1750</v>
      </c>
    </row>
    <row r="265" spans="1:10">
      <c r="A265" s="1" t="s">
        <v>1603</v>
      </c>
      <c r="B265" s="1" t="s">
        <v>224</v>
      </c>
      <c r="C265" s="1" t="s">
        <v>500</v>
      </c>
      <c r="D265" s="1" t="s">
        <v>163</v>
      </c>
      <c r="E265" s="1" t="s">
        <v>105</v>
      </c>
      <c r="F265" s="1" t="s">
        <v>1747</v>
      </c>
      <c r="G265" s="1" t="s">
        <v>84</v>
      </c>
      <c r="H265" s="1"/>
      <c r="I265" s="1" t="s">
        <v>500</v>
      </c>
      <c r="J265" s="1" t="s">
        <v>1748</v>
      </c>
    </row>
    <row r="266" spans="1:10">
      <c r="A266" s="1" t="s">
        <v>1603</v>
      </c>
      <c r="B266" s="1" t="s">
        <v>224</v>
      </c>
      <c r="C266" s="1" t="s">
        <v>1749</v>
      </c>
      <c r="D266" s="1" t="s">
        <v>163</v>
      </c>
      <c r="E266" s="1" t="s">
        <v>104</v>
      </c>
      <c r="F266" s="1" t="s">
        <v>106</v>
      </c>
      <c r="G266" s="1" t="s">
        <v>84</v>
      </c>
      <c r="H266" s="1"/>
      <c r="I266" s="1" t="s">
        <v>500</v>
      </c>
      <c r="J266" s="1" t="s">
        <v>1750</v>
      </c>
    </row>
    <row r="267" spans="1:10">
      <c r="A267" s="1" t="s">
        <v>1612</v>
      </c>
      <c r="B267" s="1" t="s">
        <v>1613</v>
      </c>
      <c r="C267" s="1" t="s">
        <v>500</v>
      </c>
      <c r="D267" s="1" t="s">
        <v>163</v>
      </c>
      <c r="E267" s="1" t="s">
        <v>105</v>
      </c>
      <c r="F267" s="1" t="s">
        <v>1747</v>
      </c>
      <c r="G267" s="1" t="s">
        <v>84</v>
      </c>
      <c r="H267" s="1"/>
      <c r="I267" s="1" t="s">
        <v>500</v>
      </c>
      <c r="J267" s="1" t="s">
        <v>1748</v>
      </c>
    </row>
    <row r="268" spans="1:10">
      <c r="A268" s="1" t="s">
        <v>1612</v>
      </c>
      <c r="B268" s="1" t="s">
        <v>1613</v>
      </c>
      <c r="C268" s="1" t="s">
        <v>1749</v>
      </c>
      <c r="D268" s="1" t="s">
        <v>163</v>
      </c>
      <c r="E268" s="1" t="s">
        <v>105</v>
      </c>
      <c r="F268" s="1" t="s">
        <v>106</v>
      </c>
      <c r="G268" s="1" t="s">
        <v>84</v>
      </c>
      <c r="H268" s="1"/>
      <c r="I268" s="1" t="s">
        <v>500</v>
      </c>
      <c r="J268" s="1" t="s">
        <v>1750</v>
      </c>
    </row>
    <row r="269" spans="1:10">
      <c r="A269" s="1" t="s">
        <v>1622</v>
      </c>
      <c r="B269" s="1" t="s">
        <v>1623</v>
      </c>
      <c r="C269" s="1" t="s">
        <v>500</v>
      </c>
      <c r="D269" s="1" t="s">
        <v>163</v>
      </c>
      <c r="E269" s="1" t="s">
        <v>258</v>
      </c>
      <c r="F269" s="1" t="s">
        <v>1747</v>
      </c>
      <c r="G269" s="1" t="s">
        <v>80</v>
      </c>
      <c r="H269" s="1"/>
      <c r="I269" s="1" t="s">
        <v>500</v>
      </c>
      <c r="J269" s="1" t="s">
        <v>1748</v>
      </c>
    </row>
    <row r="270" spans="1:10">
      <c r="A270" s="1" t="s">
        <v>1622</v>
      </c>
      <c r="B270" s="1" t="s">
        <v>1623</v>
      </c>
      <c r="C270" s="1" t="s">
        <v>1749</v>
      </c>
      <c r="D270" s="1" t="s">
        <v>163</v>
      </c>
      <c r="E270" s="1" t="s">
        <v>105</v>
      </c>
      <c r="F270" s="1" t="s">
        <v>106</v>
      </c>
      <c r="G270" s="1" t="s">
        <v>84</v>
      </c>
      <c r="H270" s="1"/>
      <c r="I270" s="1" t="s">
        <v>500</v>
      </c>
      <c r="J270" s="1" t="s">
        <v>1750</v>
      </c>
    </row>
    <row r="271" spans="1:10">
      <c r="A271" s="1" t="s">
        <v>1632</v>
      </c>
      <c r="B271" s="1" t="s">
        <v>673</v>
      </c>
      <c r="C271" s="1" t="s">
        <v>500</v>
      </c>
      <c r="D271" s="1" t="s">
        <v>597</v>
      </c>
      <c r="E271" s="1" t="s">
        <v>258</v>
      </c>
      <c r="F271" s="1" t="s">
        <v>1747</v>
      </c>
      <c r="G271" s="1" t="s">
        <v>80</v>
      </c>
      <c r="H271" s="1"/>
      <c r="I271" s="1" t="s">
        <v>500</v>
      </c>
      <c r="J271" s="1" t="s">
        <v>1748</v>
      </c>
    </row>
    <row r="272" spans="1:10">
      <c r="A272" s="1" t="s">
        <v>1632</v>
      </c>
      <c r="B272" s="1" t="s">
        <v>673</v>
      </c>
      <c r="C272" s="1" t="s">
        <v>1749</v>
      </c>
      <c r="D272" s="1" t="s">
        <v>597</v>
      </c>
      <c r="E272" s="1" t="s">
        <v>258</v>
      </c>
      <c r="F272" s="1" t="s">
        <v>106</v>
      </c>
      <c r="G272" s="1" t="s">
        <v>212</v>
      </c>
      <c r="H272" s="1"/>
      <c r="I272" s="1" t="s">
        <v>500</v>
      </c>
      <c r="J272" s="1" t="s">
        <v>1750</v>
      </c>
    </row>
    <row r="273" spans="1:10">
      <c r="A273" s="1" t="s">
        <v>1641</v>
      </c>
      <c r="B273" s="1" t="s">
        <v>1642</v>
      </c>
      <c r="C273" s="1" t="s">
        <v>500</v>
      </c>
      <c r="D273" s="1" t="s">
        <v>163</v>
      </c>
      <c r="E273" s="1" t="s">
        <v>258</v>
      </c>
      <c r="F273" s="1" t="s">
        <v>1747</v>
      </c>
      <c r="G273" s="1" t="s">
        <v>80</v>
      </c>
      <c r="H273" s="1"/>
      <c r="I273" s="1" t="s">
        <v>500</v>
      </c>
      <c r="J273" s="1" t="s">
        <v>1748</v>
      </c>
    </row>
    <row r="274" spans="1:10">
      <c r="A274" s="1" t="s">
        <v>1641</v>
      </c>
      <c r="B274" s="1" t="s">
        <v>1642</v>
      </c>
      <c r="C274" s="1" t="s">
        <v>1749</v>
      </c>
      <c r="D274" s="1" t="s">
        <v>163</v>
      </c>
      <c r="E274" s="1" t="s">
        <v>258</v>
      </c>
      <c r="F274" s="1" t="s">
        <v>106</v>
      </c>
      <c r="G274" s="1" t="s">
        <v>212</v>
      </c>
      <c r="H274" s="1"/>
      <c r="I274" s="1" t="s">
        <v>500</v>
      </c>
      <c r="J274" s="1" t="s">
        <v>1750</v>
      </c>
    </row>
    <row r="275" spans="1:10">
      <c r="A275" s="1" t="s">
        <v>1650</v>
      </c>
      <c r="B275" s="1" t="s">
        <v>1651</v>
      </c>
      <c r="C275" s="1" t="s">
        <v>500</v>
      </c>
      <c r="D275" s="1" t="s">
        <v>163</v>
      </c>
      <c r="E275" s="1" t="s">
        <v>258</v>
      </c>
      <c r="F275" s="1" t="s">
        <v>1747</v>
      </c>
      <c r="G275" s="1" t="s">
        <v>80</v>
      </c>
      <c r="H275" s="1"/>
      <c r="I275" s="1" t="s">
        <v>500</v>
      </c>
      <c r="J275" s="1" t="s">
        <v>1748</v>
      </c>
    </row>
    <row r="276" spans="1:10">
      <c r="A276" s="1" t="s">
        <v>1650</v>
      </c>
      <c r="B276" s="1" t="s">
        <v>1651</v>
      </c>
      <c r="C276" s="1" t="s">
        <v>1749</v>
      </c>
      <c r="D276" s="1" t="s">
        <v>163</v>
      </c>
      <c r="E276" s="1" t="s">
        <v>258</v>
      </c>
      <c r="F276" s="1" t="s">
        <v>106</v>
      </c>
      <c r="G276" s="1" t="s">
        <v>212</v>
      </c>
      <c r="H276" s="1"/>
      <c r="I276" s="1" t="s">
        <v>500</v>
      </c>
      <c r="J276" s="1" t="s">
        <v>1750</v>
      </c>
    </row>
    <row r="277" spans="1:10">
      <c r="A277" s="1" t="s">
        <v>1660</v>
      </c>
      <c r="B277" s="1" t="s">
        <v>1661</v>
      </c>
      <c r="C277" s="1" t="s">
        <v>500</v>
      </c>
      <c r="D277" s="1" t="s">
        <v>163</v>
      </c>
      <c r="E277" s="1" t="s">
        <v>354</v>
      </c>
      <c r="F277" s="1" t="s">
        <v>1747</v>
      </c>
      <c r="G277" s="1" t="s">
        <v>80</v>
      </c>
      <c r="H277" s="1"/>
      <c r="I277" s="1" t="s">
        <v>500</v>
      </c>
      <c r="J277" s="1" t="s">
        <v>1748</v>
      </c>
    </row>
    <row r="278" spans="1:10">
      <c r="A278" s="1" t="s">
        <v>1660</v>
      </c>
      <c r="B278" s="1" t="s">
        <v>1661</v>
      </c>
      <c r="C278" s="1" t="s">
        <v>1749</v>
      </c>
      <c r="D278" s="1" t="s">
        <v>163</v>
      </c>
      <c r="E278" s="1" t="s">
        <v>105</v>
      </c>
      <c r="F278" s="1" t="s">
        <v>106</v>
      </c>
      <c r="G278" s="1" t="s">
        <v>84</v>
      </c>
      <c r="H278" s="1"/>
      <c r="I278" s="1" t="s">
        <v>500</v>
      </c>
      <c r="J278" s="1" t="s">
        <v>1750</v>
      </c>
    </row>
    <row r="279" spans="1:10">
      <c r="A279" s="1" t="s">
        <v>1673</v>
      </c>
      <c r="B279" s="1" t="s">
        <v>1674</v>
      </c>
      <c r="C279" s="1" t="s">
        <v>500</v>
      </c>
      <c r="D279" s="1" t="s">
        <v>209</v>
      </c>
      <c r="E279" s="1" t="s">
        <v>354</v>
      </c>
      <c r="F279" s="1" t="s">
        <v>1747</v>
      </c>
      <c r="G279" s="1" t="s">
        <v>80</v>
      </c>
      <c r="H279" s="1"/>
      <c r="I279" s="1" t="s">
        <v>500</v>
      </c>
      <c r="J279" s="1" t="s">
        <v>1748</v>
      </c>
    </row>
    <row r="280" spans="1:10">
      <c r="A280" s="1" t="s">
        <v>1673</v>
      </c>
      <c r="B280" s="1" t="s">
        <v>1674</v>
      </c>
      <c r="C280" s="1" t="s">
        <v>1749</v>
      </c>
      <c r="D280" s="1" t="s">
        <v>209</v>
      </c>
      <c r="E280" s="1" t="s">
        <v>258</v>
      </c>
      <c r="F280" s="1" t="s">
        <v>213</v>
      </c>
      <c r="G280" s="1" t="s">
        <v>212</v>
      </c>
      <c r="H280" s="1"/>
      <c r="I280" s="1" t="s">
        <v>500</v>
      </c>
      <c r="J280" s="1" t="s">
        <v>1750</v>
      </c>
    </row>
    <row r="281" spans="1:10">
      <c r="A281" s="1" t="s">
        <v>1681</v>
      </c>
      <c r="B281" s="1" t="s">
        <v>1682</v>
      </c>
      <c r="C281" s="1" t="s">
        <v>500</v>
      </c>
      <c r="D281" s="1" t="s">
        <v>209</v>
      </c>
      <c r="E281" s="1" t="s">
        <v>354</v>
      </c>
      <c r="F281" s="1" t="s">
        <v>1747</v>
      </c>
      <c r="G281" s="1" t="s">
        <v>80</v>
      </c>
      <c r="H281" s="1"/>
      <c r="I281" s="1" t="s">
        <v>500</v>
      </c>
      <c r="J281" s="1" t="s">
        <v>1748</v>
      </c>
    </row>
    <row r="282" spans="1:10">
      <c r="A282" s="1" t="s">
        <v>1681</v>
      </c>
      <c r="B282" s="1" t="s">
        <v>1682</v>
      </c>
      <c r="C282" s="1" t="s">
        <v>1749</v>
      </c>
      <c r="D282" s="1" t="s">
        <v>209</v>
      </c>
      <c r="E282" s="1" t="s">
        <v>354</v>
      </c>
      <c r="F282" s="1" t="s">
        <v>213</v>
      </c>
      <c r="G282" s="1" t="s">
        <v>212</v>
      </c>
      <c r="H282" s="1"/>
      <c r="I282" s="1" t="s">
        <v>500</v>
      </c>
      <c r="J282" s="1" t="s">
        <v>1750</v>
      </c>
    </row>
    <row r="283" spans="1:10">
      <c r="A283" s="1" t="s">
        <v>1689</v>
      </c>
      <c r="B283" s="1" t="s">
        <v>525</v>
      </c>
      <c r="C283" s="1" t="s">
        <v>500</v>
      </c>
      <c r="D283" s="1" t="s">
        <v>497</v>
      </c>
      <c r="E283" s="1" t="s">
        <v>1755</v>
      </c>
      <c r="F283" s="1" t="s">
        <v>1756</v>
      </c>
      <c r="G283" s="1" t="s">
        <v>80</v>
      </c>
      <c r="H283" s="1"/>
      <c r="I283" s="1" t="s">
        <v>500</v>
      </c>
      <c r="J283" s="1" t="s">
        <v>1764</v>
      </c>
    </row>
    <row r="284" spans="1:10">
      <c r="A284" s="1" t="s">
        <v>1699</v>
      </c>
      <c r="B284" s="1" t="s">
        <v>71</v>
      </c>
      <c r="C284" s="1" t="s">
        <v>500</v>
      </c>
      <c r="D284" s="1" t="s">
        <v>497</v>
      </c>
      <c r="E284" s="1" t="s">
        <v>1755</v>
      </c>
      <c r="F284" s="1" t="s">
        <v>1756</v>
      </c>
      <c r="G284" s="1" t="s">
        <v>80</v>
      </c>
      <c r="H284" s="1"/>
      <c r="I284" s="1" t="s">
        <v>500</v>
      </c>
      <c r="J284" s="1" t="s">
        <v>1769</v>
      </c>
    </row>
    <row r="285" spans="1:10">
      <c r="A285" s="1" t="s">
        <v>1709</v>
      </c>
      <c r="B285" s="1" t="s">
        <v>509</v>
      </c>
      <c r="C285" s="1" t="s">
        <v>500</v>
      </c>
      <c r="D285" s="1" t="s">
        <v>497</v>
      </c>
      <c r="E285" s="1" t="s">
        <v>1755</v>
      </c>
      <c r="F285" s="1" t="s">
        <v>1756</v>
      </c>
      <c r="G285" s="1" t="s">
        <v>80</v>
      </c>
      <c r="H285" s="1"/>
      <c r="I285" s="1" t="s">
        <v>500</v>
      </c>
      <c r="J285" s="1" t="s">
        <v>1763</v>
      </c>
    </row>
    <row r="286" spans="1:10">
      <c r="A286" s="1" t="s">
        <v>1719</v>
      </c>
      <c r="B286" s="1" t="s">
        <v>118</v>
      </c>
      <c r="C286" s="1" t="s">
        <v>500</v>
      </c>
      <c r="D286" s="1" t="s">
        <v>102</v>
      </c>
      <c r="E286" s="1" t="s">
        <v>1755</v>
      </c>
      <c r="F286" s="1" t="s">
        <v>1756</v>
      </c>
      <c r="G286" s="1" t="s">
        <v>80</v>
      </c>
      <c r="H286" s="1"/>
      <c r="I286" s="1" t="s">
        <v>500</v>
      </c>
      <c r="J286" s="1" t="s">
        <v>1769</v>
      </c>
    </row>
    <row r="287" spans="1:10">
      <c r="A287" s="1" t="s">
        <v>1728</v>
      </c>
      <c r="B287" s="1" t="s">
        <v>1729</v>
      </c>
      <c r="C287" s="1" t="s">
        <v>500</v>
      </c>
      <c r="D287" s="1" t="s">
        <v>102</v>
      </c>
      <c r="E287" s="1" t="s">
        <v>1755</v>
      </c>
      <c r="F287" s="1" t="s">
        <v>1756</v>
      </c>
      <c r="G287" s="1" t="s">
        <v>80</v>
      </c>
      <c r="H287" s="1"/>
      <c r="I287" s="1" t="s">
        <v>500</v>
      </c>
      <c r="J287" s="1" t="s">
        <v>1769</v>
      </c>
    </row>
    <row r="288" spans="1:10">
      <c r="A288" s="1" t="s">
        <v>493</v>
      </c>
      <c r="B288" s="1" t="s">
        <v>494</v>
      </c>
      <c r="C288" s="1" t="s">
        <v>500</v>
      </c>
      <c r="D288" s="1" t="s">
        <v>497</v>
      </c>
      <c r="E288" s="1" t="s">
        <v>1774</v>
      </c>
      <c r="F288" s="1" t="s">
        <v>1775</v>
      </c>
      <c r="G288" s="1" t="s">
        <v>1776</v>
      </c>
      <c r="H288" s="1"/>
      <c r="I288" s="1" t="s">
        <v>69</v>
      </c>
      <c r="J288" s="1" t="s">
        <v>1777</v>
      </c>
    </row>
    <row r="289" spans="1:10">
      <c r="A289" s="1" t="s">
        <v>508</v>
      </c>
      <c r="B289" s="1" t="s">
        <v>509</v>
      </c>
      <c r="C289" s="1" t="s">
        <v>515</v>
      </c>
      <c r="D289" s="1" t="s">
        <v>497</v>
      </c>
      <c r="E289" s="1" t="s">
        <v>1774</v>
      </c>
      <c r="F289" s="1" t="s">
        <v>1778</v>
      </c>
      <c r="G289" s="1" t="s">
        <v>1776</v>
      </c>
      <c r="H289" s="1"/>
      <c r="I289" s="1" t="s">
        <v>69</v>
      </c>
      <c r="J289" s="1" t="s">
        <v>1777</v>
      </c>
    </row>
    <row r="290" spans="1:10">
      <c r="A290" s="1" t="s">
        <v>524</v>
      </c>
      <c r="B290" s="1" t="s">
        <v>525</v>
      </c>
      <c r="C290" s="1" t="s">
        <v>531</v>
      </c>
      <c r="D290" s="1" t="s">
        <v>497</v>
      </c>
      <c r="E290" s="1" t="s">
        <v>1774</v>
      </c>
      <c r="F290" s="1" t="s">
        <v>1779</v>
      </c>
      <c r="G290" s="1" t="s">
        <v>1776</v>
      </c>
      <c r="H290" s="1"/>
      <c r="I290" s="1" t="s">
        <v>69</v>
      </c>
      <c r="J290" s="1" t="s">
        <v>1777</v>
      </c>
    </row>
    <row r="291" spans="1:10">
      <c r="A291" s="1" t="s">
        <v>985</v>
      </c>
      <c r="B291" s="1" t="s">
        <v>986</v>
      </c>
      <c r="C291" s="1" t="s">
        <v>69</v>
      </c>
      <c r="D291" s="1" t="s">
        <v>163</v>
      </c>
      <c r="E291" s="1" t="s">
        <v>1774</v>
      </c>
      <c r="F291" s="1" t="s">
        <v>1780</v>
      </c>
      <c r="G291" s="1" t="s">
        <v>1776</v>
      </c>
      <c r="H291" s="1"/>
      <c r="I291" s="1" t="s">
        <v>515</v>
      </c>
      <c r="J291" s="1" t="s">
        <v>1777</v>
      </c>
    </row>
    <row r="292" spans="1:10">
      <c r="A292" s="1" t="s">
        <v>997</v>
      </c>
      <c r="B292" s="1" t="s">
        <v>71</v>
      </c>
      <c r="C292" s="1" t="s">
        <v>69</v>
      </c>
      <c r="D292" s="1" t="s">
        <v>497</v>
      </c>
      <c r="E292" s="1" t="s">
        <v>1774</v>
      </c>
      <c r="F292" s="1" t="s">
        <v>1780</v>
      </c>
      <c r="G292" s="1" t="s">
        <v>1776</v>
      </c>
      <c r="H292" s="1"/>
      <c r="I292" s="1" t="s">
        <v>515</v>
      </c>
      <c r="J292" s="1" t="s">
        <v>1777</v>
      </c>
    </row>
    <row r="293" spans="1:10">
      <c r="A293" s="1" t="s">
        <v>1007</v>
      </c>
      <c r="B293" s="1" t="s">
        <v>1008</v>
      </c>
      <c r="C293" s="1" t="s">
        <v>69</v>
      </c>
      <c r="D293" s="1" t="s">
        <v>102</v>
      </c>
      <c r="E293" s="1" t="s">
        <v>1774</v>
      </c>
      <c r="F293" s="1" t="s">
        <v>1780</v>
      </c>
      <c r="G293" s="1" t="s">
        <v>1776</v>
      </c>
      <c r="H293" s="1"/>
      <c r="I293" s="1" t="s">
        <v>515</v>
      </c>
      <c r="J293" s="1" t="s">
        <v>1777</v>
      </c>
    </row>
    <row r="294" spans="1:10">
      <c r="A294" s="1" t="s">
        <v>1017</v>
      </c>
      <c r="B294" s="1" t="s">
        <v>494</v>
      </c>
      <c r="C294" s="1" t="s">
        <v>500</v>
      </c>
      <c r="D294" s="1" t="s">
        <v>497</v>
      </c>
      <c r="E294" s="1" t="s">
        <v>1774</v>
      </c>
      <c r="F294" s="1" t="s">
        <v>1775</v>
      </c>
      <c r="G294" s="1" t="s">
        <v>1776</v>
      </c>
      <c r="H294" s="1"/>
      <c r="I294" s="1" t="s">
        <v>515</v>
      </c>
      <c r="J294" s="1" t="s">
        <v>1777</v>
      </c>
    </row>
    <row r="295" spans="1:10">
      <c r="A295" s="1" t="s">
        <v>1027</v>
      </c>
      <c r="B295" s="1" t="s">
        <v>525</v>
      </c>
      <c r="C295" s="1" t="s">
        <v>531</v>
      </c>
      <c r="D295" s="1" t="s">
        <v>497</v>
      </c>
      <c r="E295" s="1" t="s">
        <v>1774</v>
      </c>
      <c r="F295" s="1" t="s">
        <v>1779</v>
      </c>
      <c r="G295" s="1" t="s">
        <v>1776</v>
      </c>
      <c r="H295" s="1"/>
      <c r="I295" s="1" t="s">
        <v>515</v>
      </c>
      <c r="J295" s="1" t="s">
        <v>1777</v>
      </c>
    </row>
    <row r="296" spans="1:10">
      <c r="A296" s="1" t="s">
        <v>1343</v>
      </c>
      <c r="B296" s="1" t="s">
        <v>1344</v>
      </c>
      <c r="C296" s="1" t="s">
        <v>1348</v>
      </c>
      <c r="D296" s="1" t="s">
        <v>163</v>
      </c>
      <c r="E296" s="1" t="s">
        <v>1774</v>
      </c>
      <c r="F296" s="1" t="s">
        <v>1781</v>
      </c>
      <c r="G296" s="1" t="s">
        <v>1776</v>
      </c>
      <c r="H296" s="1"/>
      <c r="I296" s="1" t="s">
        <v>531</v>
      </c>
      <c r="J296" s="1" t="s">
        <v>1777</v>
      </c>
    </row>
    <row r="297" spans="1:10">
      <c r="A297" s="1" t="s">
        <v>1380</v>
      </c>
      <c r="B297" s="1" t="s">
        <v>1381</v>
      </c>
      <c r="C297" s="1" t="s">
        <v>500</v>
      </c>
      <c r="D297" s="1" t="s">
        <v>497</v>
      </c>
      <c r="E297" s="1" t="s">
        <v>1774</v>
      </c>
      <c r="F297" s="1" t="s">
        <v>1775</v>
      </c>
      <c r="G297" s="1" t="s">
        <v>1776</v>
      </c>
      <c r="H297" s="1"/>
      <c r="I297" s="1" t="s">
        <v>531</v>
      </c>
      <c r="J297" s="1" t="s">
        <v>1777</v>
      </c>
    </row>
    <row r="298" spans="1:10">
      <c r="A298" s="1" t="s">
        <v>1393</v>
      </c>
      <c r="B298" s="1" t="s">
        <v>1394</v>
      </c>
      <c r="C298" s="1" t="s">
        <v>1751</v>
      </c>
      <c r="D298" s="1" t="s">
        <v>497</v>
      </c>
      <c r="E298" s="1" t="s">
        <v>1774</v>
      </c>
      <c r="F298" s="1" t="s">
        <v>1782</v>
      </c>
      <c r="G298" s="1" t="s">
        <v>1776</v>
      </c>
      <c r="H298" s="1"/>
      <c r="I298" s="1" t="s">
        <v>531</v>
      </c>
      <c r="J298" s="1" t="s">
        <v>1777</v>
      </c>
    </row>
    <row r="299" spans="1:10">
      <c r="A299" s="1" t="s">
        <v>1689</v>
      </c>
      <c r="B299" s="1" t="s">
        <v>525</v>
      </c>
      <c r="C299" s="1" t="s">
        <v>531</v>
      </c>
      <c r="D299" s="1" t="s">
        <v>497</v>
      </c>
      <c r="E299" s="1" t="s">
        <v>1774</v>
      </c>
      <c r="F299" s="1" t="s">
        <v>1779</v>
      </c>
      <c r="G299" s="1" t="s">
        <v>1776</v>
      </c>
      <c r="H299" s="1"/>
      <c r="I299" s="1" t="s">
        <v>500</v>
      </c>
      <c r="J299" s="1" t="s">
        <v>1777</v>
      </c>
    </row>
    <row r="300" spans="1:10">
      <c r="A300" s="1" t="s">
        <v>1699</v>
      </c>
      <c r="B300" s="1" t="s">
        <v>71</v>
      </c>
      <c r="C300" s="1" t="s">
        <v>69</v>
      </c>
      <c r="D300" s="1" t="s">
        <v>497</v>
      </c>
      <c r="E300" s="1" t="s">
        <v>1774</v>
      </c>
      <c r="F300" s="1" t="s">
        <v>1780</v>
      </c>
      <c r="G300" s="1" t="s">
        <v>1776</v>
      </c>
      <c r="H300" s="1"/>
      <c r="I300" s="1" t="s">
        <v>500</v>
      </c>
      <c r="J300" s="1" t="s">
        <v>1777</v>
      </c>
    </row>
    <row r="301" spans="1:10">
      <c r="A301" s="1" t="s">
        <v>1709</v>
      </c>
      <c r="B301" s="1" t="s">
        <v>509</v>
      </c>
      <c r="C301" s="1" t="s">
        <v>515</v>
      </c>
      <c r="D301" s="1" t="s">
        <v>497</v>
      </c>
      <c r="E301" s="1" t="s">
        <v>1774</v>
      </c>
      <c r="F301" s="1" t="s">
        <v>1778</v>
      </c>
      <c r="G301" s="1" t="s">
        <v>1776</v>
      </c>
      <c r="H301" s="1"/>
      <c r="I301" s="1" t="s">
        <v>500</v>
      </c>
      <c r="J301" s="1" t="s">
        <v>1777</v>
      </c>
    </row>
    <row r="302" spans="1:10">
      <c r="A302" s="1" t="s">
        <v>1719</v>
      </c>
      <c r="B302" s="1" t="s">
        <v>118</v>
      </c>
      <c r="C302" s="1" t="s">
        <v>69</v>
      </c>
      <c r="D302" s="1" t="s">
        <v>102</v>
      </c>
      <c r="E302" s="1" t="s">
        <v>1774</v>
      </c>
      <c r="F302" s="1" t="s">
        <v>1780</v>
      </c>
      <c r="G302" s="1" t="s">
        <v>1776</v>
      </c>
      <c r="H302" s="1"/>
      <c r="I302" s="1" t="s">
        <v>500</v>
      </c>
      <c r="J302" s="1" t="s">
        <v>1777</v>
      </c>
    </row>
    <row r="303" spans="1:10">
      <c r="A303" s="1" t="s">
        <v>1728</v>
      </c>
      <c r="B303" s="1" t="s">
        <v>1729</v>
      </c>
      <c r="C303" s="1" t="s">
        <v>69</v>
      </c>
      <c r="D303" s="1" t="s">
        <v>102</v>
      </c>
      <c r="E303" s="1" t="s">
        <v>1774</v>
      </c>
      <c r="F303" s="1" t="s">
        <v>1780</v>
      </c>
      <c r="G303" s="1" t="s">
        <v>1776</v>
      </c>
      <c r="H303" s="1"/>
      <c r="I303" s="1" t="s">
        <v>500</v>
      </c>
      <c r="J303" s="1" t="s">
        <v>1777</v>
      </c>
    </row>
  </sheetData>
  <conditionalFormatting sqref="E2:E303">
    <cfRule type="expression" dxfId="18" priority="1">
      <formula>$E2="Tier 1"</formula>
    </cfRule>
    <cfRule type="expression" dxfId="17" priority="2">
      <formula>$E2="Tier 2"</formula>
    </cfRule>
    <cfRule type="expression" dxfId="16" priority="3">
      <formula>$E2="Tier 3"</formula>
    </cfRule>
    <cfRule type="expression" dxfId="15" priority="4">
      <formula>$E2="Tier 4"</formula>
    </cfRule>
    <cfRule type="expression" dxfId="14" priority="5">
      <formula>$E2="GUARDRAIL"</formula>
    </cfRule>
    <cfRule type="expression" dxfId="13" priority="6">
      <formula>$E2="DO_NOT_USE"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9"/>
  <sheetViews>
    <sheetView zoomScaleNormal="100" zoomScaleSheetLayoutView="100" workbookViewId="0">
      <selection activeCell="D3" sqref="D3"/>
    </sheetView>
  </sheetViews>
  <sheetFormatPr defaultRowHeight="14.25"/>
  <cols>
    <col min="1" max="1" width="27.5" style="6" customWidth="1"/>
    <col min="2" max="2" width="18" customWidth="1"/>
    <col min="3" max="3" width="16" customWidth="1"/>
    <col min="4" max="4" width="32.375" customWidth="1"/>
    <col min="5" max="5" width="30" customWidth="1"/>
    <col min="6" max="6" width="18" customWidth="1"/>
    <col min="7" max="7" width="30" customWidth="1"/>
    <col min="8" max="8" width="60" customWidth="1"/>
    <col min="9" max="9" width="18" customWidth="1"/>
    <col min="10" max="10" width="28" customWidth="1"/>
    <col min="11" max="11" width="70" customWidth="1"/>
  </cols>
  <sheetData>
    <row r="1" spans="1:11" ht="33">
      <c r="A1" s="5" t="s">
        <v>1783</v>
      </c>
      <c r="B1" s="4" t="s">
        <v>1784</v>
      </c>
      <c r="C1" s="4" t="s">
        <v>1785</v>
      </c>
      <c r="D1" s="4" t="s">
        <v>1786</v>
      </c>
      <c r="E1" s="4" t="s">
        <v>1787</v>
      </c>
      <c r="F1" s="4" t="s">
        <v>1788</v>
      </c>
      <c r="G1" s="4" t="s">
        <v>1789</v>
      </c>
      <c r="H1" s="4" t="s">
        <v>1790</v>
      </c>
      <c r="I1" s="4" t="s">
        <v>1791</v>
      </c>
      <c r="J1" s="4" t="s">
        <v>1792</v>
      </c>
      <c r="K1" s="4" t="s">
        <v>1793</v>
      </c>
    </row>
    <row r="2" spans="1:11" ht="33.75">
      <c r="A2" s="3" t="s">
        <v>1749</v>
      </c>
      <c r="B2" s="1" t="s">
        <v>1794</v>
      </c>
      <c r="C2" s="1" t="s">
        <v>1795</v>
      </c>
      <c r="D2" s="1" t="s">
        <v>1796</v>
      </c>
      <c r="E2" s="1" t="s">
        <v>1797</v>
      </c>
      <c r="F2" s="1" t="s">
        <v>1798</v>
      </c>
      <c r="G2" s="1"/>
      <c r="H2" s="1" t="s">
        <v>1799</v>
      </c>
      <c r="I2" s="1" t="s">
        <v>80</v>
      </c>
      <c r="J2" s="1" t="s">
        <v>1800</v>
      </c>
      <c r="K2" s="1" t="s">
        <v>1801</v>
      </c>
    </row>
    <row r="3" spans="1:11" ht="32.25" customHeight="1">
      <c r="A3" s="3" t="s">
        <v>1749</v>
      </c>
      <c r="B3" s="1" t="s">
        <v>1802</v>
      </c>
      <c r="C3" s="1" t="s">
        <v>1803</v>
      </c>
      <c r="D3" s="1" t="s">
        <v>1804</v>
      </c>
      <c r="E3" s="1" t="s">
        <v>1805</v>
      </c>
      <c r="F3" s="1" t="s">
        <v>1798</v>
      </c>
      <c r="G3" s="1" t="s">
        <v>1806</v>
      </c>
      <c r="H3" s="1" t="s">
        <v>1807</v>
      </c>
      <c r="I3" s="1" t="s">
        <v>80</v>
      </c>
      <c r="J3" s="1" t="s">
        <v>1800</v>
      </c>
      <c r="K3" s="1" t="s">
        <v>1808</v>
      </c>
    </row>
    <row r="4" spans="1:11" ht="16.5">
      <c r="A4" s="3" t="s">
        <v>1751</v>
      </c>
      <c r="B4" s="1" t="s">
        <v>1809</v>
      </c>
      <c r="C4" s="1" t="s">
        <v>1795</v>
      </c>
      <c r="D4" s="1" t="s">
        <v>1810</v>
      </c>
      <c r="E4" s="1" t="s">
        <v>102</v>
      </c>
      <c r="F4" s="1" t="s">
        <v>1798</v>
      </c>
      <c r="G4" s="1" t="s">
        <v>1811</v>
      </c>
      <c r="H4" s="1"/>
      <c r="I4" s="1" t="s">
        <v>80</v>
      </c>
      <c r="J4" s="1" t="s">
        <v>1812</v>
      </c>
      <c r="K4" s="1" t="s">
        <v>1813</v>
      </c>
    </row>
    <row r="5" spans="1:11" ht="16.5">
      <c r="A5" s="3" t="s">
        <v>1751</v>
      </c>
      <c r="B5" s="1" t="s">
        <v>1814</v>
      </c>
      <c r="C5" s="1" t="s">
        <v>1795</v>
      </c>
      <c r="D5" s="1" t="s">
        <v>1810</v>
      </c>
      <c r="E5" s="1" t="s">
        <v>397</v>
      </c>
      <c r="F5" s="1" t="s">
        <v>1798</v>
      </c>
      <c r="G5" s="1" t="s">
        <v>1815</v>
      </c>
      <c r="H5" s="1"/>
      <c r="I5" s="1" t="s">
        <v>80</v>
      </c>
      <c r="J5" s="1" t="s">
        <v>1812</v>
      </c>
      <c r="K5" s="1" t="s">
        <v>1816</v>
      </c>
    </row>
    <row r="6" spans="1:11" ht="16.5">
      <c r="A6" s="3" t="s">
        <v>1751</v>
      </c>
      <c r="B6" s="1" t="s">
        <v>1817</v>
      </c>
      <c r="C6" s="1" t="s">
        <v>1803</v>
      </c>
      <c r="D6" s="1" t="s">
        <v>1810</v>
      </c>
      <c r="E6" s="1" t="s">
        <v>397</v>
      </c>
      <c r="F6" s="1" t="s">
        <v>1798</v>
      </c>
      <c r="G6" s="1" t="s">
        <v>1818</v>
      </c>
      <c r="H6" s="1"/>
      <c r="I6" s="1" t="s">
        <v>80</v>
      </c>
      <c r="J6" s="1" t="s">
        <v>1812</v>
      </c>
      <c r="K6" s="1" t="s">
        <v>1819</v>
      </c>
    </row>
    <row r="7" spans="1:11" ht="16.5">
      <c r="A7" s="3" t="s">
        <v>1751</v>
      </c>
      <c r="B7" s="1" t="s">
        <v>1820</v>
      </c>
      <c r="C7" s="1" t="s">
        <v>1821</v>
      </c>
      <c r="D7" s="1" t="s">
        <v>1810</v>
      </c>
      <c r="E7" s="1" t="s">
        <v>397</v>
      </c>
      <c r="F7" s="1" t="s">
        <v>1798</v>
      </c>
      <c r="G7" s="1" t="s">
        <v>1811</v>
      </c>
      <c r="H7" s="1"/>
      <c r="I7" s="1" t="s">
        <v>80</v>
      </c>
      <c r="J7" s="1" t="s">
        <v>1812</v>
      </c>
      <c r="K7" s="1" t="s">
        <v>1822</v>
      </c>
    </row>
    <row r="8" spans="1:11" ht="16.5">
      <c r="A8" s="3" t="s">
        <v>1751</v>
      </c>
      <c r="B8" s="1" t="s">
        <v>1823</v>
      </c>
      <c r="C8" s="1" t="s">
        <v>1821</v>
      </c>
      <c r="D8" s="1" t="s">
        <v>1810</v>
      </c>
      <c r="E8" s="1" t="s">
        <v>163</v>
      </c>
      <c r="F8" s="1" t="s">
        <v>1798</v>
      </c>
      <c r="G8" s="1" t="s">
        <v>1818</v>
      </c>
      <c r="H8" s="1"/>
      <c r="I8" s="1" t="s">
        <v>80</v>
      </c>
      <c r="J8" s="1" t="s">
        <v>1812</v>
      </c>
      <c r="K8" s="1" t="s">
        <v>1824</v>
      </c>
    </row>
    <row r="9" spans="1:11" ht="16.5">
      <c r="A9" s="3" t="s">
        <v>1751</v>
      </c>
      <c r="B9" s="1" t="s">
        <v>1825</v>
      </c>
      <c r="C9" s="1" t="s">
        <v>1821</v>
      </c>
      <c r="D9" s="1" t="s">
        <v>1810</v>
      </c>
      <c r="E9" s="1" t="s">
        <v>397</v>
      </c>
      <c r="F9" s="1" t="s">
        <v>1798</v>
      </c>
      <c r="G9" s="1" t="s">
        <v>1826</v>
      </c>
      <c r="H9" s="1"/>
      <c r="I9" s="1" t="s">
        <v>80</v>
      </c>
      <c r="J9" s="1" t="s">
        <v>1812</v>
      </c>
      <c r="K9" s="1" t="s">
        <v>1827</v>
      </c>
    </row>
    <row r="10" spans="1:11" ht="16.5">
      <c r="A10" s="3" t="s">
        <v>1751</v>
      </c>
      <c r="B10" s="1" t="s">
        <v>1828</v>
      </c>
      <c r="C10" s="1" t="s">
        <v>1829</v>
      </c>
      <c r="D10" s="1" t="s">
        <v>1810</v>
      </c>
      <c r="E10" s="1" t="s">
        <v>102</v>
      </c>
      <c r="F10" s="1" t="s">
        <v>1798</v>
      </c>
      <c r="G10" s="1" t="s">
        <v>1830</v>
      </c>
      <c r="H10" s="1"/>
      <c r="I10" s="1" t="s">
        <v>80</v>
      </c>
      <c r="J10" s="1" t="s">
        <v>1812</v>
      </c>
      <c r="K10" s="1" t="s">
        <v>1831</v>
      </c>
    </row>
    <row r="11" spans="1:11" ht="16.5">
      <c r="A11" s="3" t="s">
        <v>1751</v>
      </c>
      <c r="B11" s="1" t="s">
        <v>1832</v>
      </c>
      <c r="C11" s="1" t="s">
        <v>1821</v>
      </c>
      <c r="D11" s="1" t="s">
        <v>1810</v>
      </c>
      <c r="E11" s="1" t="s">
        <v>597</v>
      </c>
      <c r="F11" s="1" t="s">
        <v>1798</v>
      </c>
      <c r="G11" s="1" t="s">
        <v>1818</v>
      </c>
      <c r="H11" s="1"/>
      <c r="I11" s="1" t="s">
        <v>80</v>
      </c>
      <c r="J11" s="1" t="s">
        <v>1812</v>
      </c>
      <c r="K11" s="1" t="s">
        <v>1833</v>
      </c>
    </row>
    <row r="12" spans="1:11" ht="33.75">
      <c r="A12" s="3" t="s">
        <v>69</v>
      </c>
      <c r="B12" s="1" t="s">
        <v>1834</v>
      </c>
      <c r="C12" s="1" t="s">
        <v>1795</v>
      </c>
      <c r="D12" s="1" t="s">
        <v>1835</v>
      </c>
      <c r="E12" s="1" t="s">
        <v>102</v>
      </c>
      <c r="F12" s="1" t="s">
        <v>1798</v>
      </c>
      <c r="G12" s="1" t="s">
        <v>1811</v>
      </c>
      <c r="H12" s="1" t="s">
        <v>1836</v>
      </c>
      <c r="I12" s="1" t="s">
        <v>84</v>
      </c>
      <c r="J12" s="1" t="s">
        <v>1837</v>
      </c>
      <c r="K12" s="1" t="s">
        <v>1838</v>
      </c>
    </row>
    <row r="13" spans="1:11" ht="16.5">
      <c r="A13" s="3" t="s">
        <v>69</v>
      </c>
      <c r="B13" s="1" t="s">
        <v>1839</v>
      </c>
      <c r="C13" s="1" t="s">
        <v>1821</v>
      </c>
      <c r="D13" s="1" t="s">
        <v>1810</v>
      </c>
      <c r="E13" s="1" t="s">
        <v>102</v>
      </c>
      <c r="F13" s="1" t="s">
        <v>1798</v>
      </c>
      <c r="G13" s="1" t="s">
        <v>1811</v>
      </c>
      <c r="H13" s="1" t="s">
        <v>1840</v>
      </c>
      <c r="I13" s="1" t="s">
        <v>80</v>
      </c>
      <c r="J13" s="1" t="s">
        <v>1837</v>
      </c>
      <c r="K13" s="1" t="s">
        <v>1841</v>
      </c>
    </row>
    <row r="14" spans="1:11" ht="16.5">
      <c r="A14" s="3" t="s">
        <v>515</v>
      </c>
      <c r="B14" s="1" t="s">
        <v>1842</v>
      </c>
      <c r="C14" s="1" t="s">
        <v>1795</v>
      </c>
      <c r="D14" s="1" t="s">
        <v>1810</v>
      </c>
      <c r="E14" s="1" t="s">
        <v>397</v>
      </c>
      <c r="F14" s="1" t="s">
        <v>1798</v>
      </c>
      <c r="G14" s="1" t="s">
        <v>1815</v>
      </c>
      <c r="H14" s="1"/>
      <c r="I14" s="1" t="s">
        <v>80</v>
      </c>
      <c r="J14" s="1" t="s">
        <v>1843</v>
      </c>
      <c r="K14" s="1" t="s">
        <v>1844</v>
      </c>
    </row>
    <row r="15" spans="1:11" ht="16.5">
      <c r="A15" s="3" t="s">
        <v>515</v>
      </c>
      <c r="B15" s="1" t="s">
        <v>1845</v>
      </c>
      <c r="C15" s="1" t="s">
        <v>1795</v>
      </c>
      <c r="D15" s="1" t="s">
        <v>1810</v>
      </c>
      <c r="E15" s="1" t="s">
        <v>397</v>
      </c>
      <c r="F15" s="1" t="s">
        <v>1798</v>
      </c>
      <c r="G15" s="1" t="s">
        <v>1818</v>
      </c>
      <c r="H15" s="1"/>
      <c r="I15" s="1" t="s">
        <v>80</v>
      </c>
      <c r="J15" s="1" t="s">
        <v>1843</v>
      </c>
      <c r="K15" s="1" t="s">
        <v>1846</v>
      </c>
    </row>
    <row r="16" spans="1:11" ht="16.5">
      <c r="A16" s="3" t="s">
        <v>515</v>
      </c>
      <c r="B16" s="1" t="s">
        <v>1847</v>
      </c>
      <c r="C16" s="1" t="s">
        <v>1803</v>
      </c>
      <c r="D16" s="1" t="s">
        <v>1810</v>
      </c>
      <c r="E16" s="1" t="s">
        <v>397</v>
      </c>
      <c r="F16" s="1" t="s">
        <v>1798</v>
      </c>
      <c r="G16" s="1" t="s">
        <v>1826</v>
      </c>
      <c r="H16" s="1"/>
      <c r="I16" s="1" t="s">
        <v>80</v>
      </c>
      <c r="J16" s="1" t="s">
        <v>1843</v>
      </c>
      <c r="K16" s="1" t="s">
        <v>1848</v>
      </c>
    </row>
    <row r="17" spans="1:11" ht="16.5">
      <c r="A17" s="3" t="s">
        <v>515</v>
      </c>
      <c r="B17" s="1" t="s">
        <v>1849</v>
      </c>
      <c r="C17" s="1" t="s">
        <v>1821</v>
      </c>
      <c r="D17" s="1" t="s">
        <v>1810</v>
      </c>
      <c r="E17" s="1" t="s">
        <v>397</v>
      </c>
      <c r="F17" s="1" t="s">
        <v>1798</v>
      </c>
      <c r="G17" s="1" t="s">
        <v>1811</v>
      </c>
      <c r="H17" s="1"/>
      <c r="I17" s="1" t="s">
        <v>80</v>
      </c>
      <c r="J17" s="1" t="s">
        <v>1843</v>
      </c>
      <c r="K17" s="1" t="s">
        <v>1850</v>
      </c>
    </row>
    <row r="18" spans="1:11" ht="16.5">
      <c r="A18" s="3" t="s">
        <v>515</v>
      </c>
      <c r="B18" s="1" t="s">
        <v>1851</v>
      </c>
      <c r="C18" s="1" t="s">
        <v>1821</v>
      </c>
      <c r="D18" s="1" t="s">
        <v>1810</v>
      </c>
      <c r="E18" s="1" t="s">
        <v>641</v>
      </c>
      <c r="F18" s="1" t="s">
        <v>104</v>
      </c>
      <c r="G18" s="1" t="s">
        <v>1811</v>
      </c>
      <c r="H18" s="1"/>
      <c r="I18" s="1" t="s">
        <v>80</v>
      </c>
      <c r="J18" s="1" t="s">
        <v>1843</v>
      </c>
      <c r="K18" s="1" t="s">
        <v>1852</v>
      </c>
    </row>
    <row r="19" spans="1:11" ht="16.5">
      <c r="A19" s="3" t="s">
        <v>515</v>
      </c>
      <c r="B19" s="1" t="s">
        <v>1853</v>
      </c>
      <c r="C19" s="1" t="s">
        <v>1821</v>
      </c>
      <c r="D19" s="1" t="s">
        <v>1810</v>
      </c>
      <c r="E19" s="1" t="s">
        <v>641</v>
      </c>
      <c r="F19" s="1" t="s">
        <v>1798</v>
      </c>
      <c r="G19" s="1" t="s">
        <v>1815</v>
      </c>
      <c r="H19" s="1"/>
      <c r="I19" s="1" t="s">
        <v>80</v>
      </c>
      <c r="J19" s="1" t="s">
        <v>1843</v>
      </c>
      <c r="K19" s="1" t="s">
        <v>1854</v>
      </c>
    </row>
    <row r="20" spans="1:11" ht="16.5">
      <c r="A20" s="3" t="s">
        <v>515</v>
      </c>
      <c r="B20" s="1" t="s">
        <v>1855</v>
      </c>
      <c r="C20" s="1" t="s">
        <v>1856</v>
      </c>
      <c r="D20" s="1" t="s">
        <v>1810</v>
      </c>
      <c r="E20" s="1" t="s">
        <v>641</v>
      </c>
      <c r="F20" s="1" t="s">
        <v>104</v>
      </c>
      <c r="G20" s="1" t="s">
        <v>1857</v>
      </c>
      <c r="H20" s="1" t="s">
        <v>1858</v>
      </c>
      <c r="I20" s="1" t="s">
        <v>80</v>
      </c>
      <c r="J20" s="1" t="s">
        <v>1859</v>
      </c>
      <c r="K20" s="1" t="s">
        <v>1860</v>
      </c>
    </row>
    <row r="21" spans="1:11" ht="16.5">
      <c r="A21" s="3" t="s">
        <v>500</v>
      </c>
      <c r="B21" s="1" t="s">
        <v>1861</v>
      </c>
      <c r="C21" s="1" t="s">
        <v>1795</v>
      </c>
      <c r="D21" s="1" t="s">
        <v>1810</v>
      </c>
      <c r="E21" s="1" t="s">
        <v>466</v>
      </c>
      <c r="F21" s="1" t="s">
        <v>1798</v>
      </c>
      <c r="G21" s="1" t="s">
        <v>1857</v>
      </c>
      <c r="H21" s="1"/>
      <c r="I21" s="1" t="s">
        <v>80</v>
      </c>
      <c r="J21" s="1" t="s">
        <v>1862</v>
      </c>
      <c r="K21" s="1" t="s">
        <v>1863</v>
      </c>
    </row>
    <row r="22" spans="1:11" ht="16.5">
      <c r="A22" s="3" t="s">
        <v>500</v>
      </c>
      <c r="B22" s="1" t="s">
        <v>1864</v>
      </c>
      <c r="C22" s="1" t="s">
        <v>1803</v>
      </c>
      <c r="D22" s="1" t="s">
        <v>1810</v>
      </c>
      <c r="E22" s="1" t="s">
        <v>466</v>
      </c>
      <c r="F22" s="1" t="s">
        <v>1798</v>
      </c>
      <c r="G22" s="1" t="s">
        <v>1811</v>
      </c>
      <c r="H22" s="1"/>
      <c r="I22" s="1" t="s">
        <v>80</v>
      </c>
      <c r="J22" s="1" t="s">
        <v>1862</v>
      </c>
      <c r="K22" s="1" t="s">
        <v>1865</v>
      </c>
    </row>
    <row r="23" spans="1:11" ht="16.5">
      <c r="A23" s="3" t="s">
        <v>500</v>
      </c>
      <c r="B23" s="1" t="s">
        <v>1866</v>
      </c>
      <c r="C23" s="1" t="s">
        <v>1821</v>
      </c>
      <c r="D23" s="1" t="s">
        <v>1810</v>
      </c>
      <c r="E23" s="1" t="s">
        <v>466</v>
      </c>
      <c r="F23" s="1" t="s">
        <v>1798</v>
      </c>
      <c r="G23" s="1" t="s">
        <v>1830</v>
      </c>
      <c r="H23" s="1"/>
      <c r="I23" s="1" t="s">
        <v>80</v>
      </c>
      <c r="J23" s="1" t="s">
        <v>1862</v>
      </c>
      <c r="K23" s="1" t="s">
        <v>1867</v>
      </c>
    </row>
    <row r="24" spans="1:11" ht="16.5">
      <c r="A24" s="3" t="s">
        <v>500</v>
      </c>
      <c r="B24" s="1" t="s">
        <v>1868</v>
      </c>
      <c r="C24" s="1" t="s">
        <v>1821</v>
      </c>
      <c r="D24" s="1" t="s">
        <v>1810</v>
      </c>
      <c r="E24" s="1" t="s">
        <v>466</v>
      </c>
      <c r="F24" s="1" t="s">
        <v>1798</v>
      </c>
      <c r="G24" s="1" t="s">
        <v>1815</v>
      </c>
      <c r="H24" s="1"/>
      <c r="I24" s="1" t="s">
        <v>80</v>
      </c>
      <c r="J24" s="1" t="s">
        <v>1862</v>
      </c>
      <c r="K24" s="1" t="s">
        <v>1869</v>
      </c>
    </row>
    <row r="25" spans="1:11" ht="16.5">
      <c r="A25" s="3" t="s">
        <v>500</v>
      </c>
      <c r="B25" s="1" t="s">
        <v>1870</v>
      </c>
      <c r="C25" s="1" t="s">
        <v>1821</v>
      </c>
      <c r="D25" s="1" t="s">
        <v>1810</v>
      </c>
      <c r="E25" s="1" t="s">
        <v>466</v>
      </c>
      <c r="F25" s="1" t="s">
        <v>1798</v>
      </c>
      <c r="G25" s="1" t="s">
        <v>1871</v>
      </c>
      <c r="H25" s="1"/>
      <c r="I25" s="1" t="s">
        <v>80</v>
      </c>
      <c r="J25" s="1" t="s">
        <v>1862</v>
      </c>
      <c r="K25" s="1" t="s">
        <v>1872</v>
      </c>
    </row>
    <row r="26" spans="1:11" ht="33.75">
      <c r="A26" s="3" t="s">
        <v>500</v>
      </c>
      <c r="B26" s="1" t="s">
        <v>1873</v>
      </c>
      <c r="C26" s="1" t="s">
        <v>1795</v>
      </c>
      <c r="D26" s="1" t="s">
        <v>1874</v>
      </c>
      <c r="E26" s="1" t="s">
        <v>1451</v>
      </c>
      <c r="F26" s="1" t="s">
        <v>104</v>
      </c>
      <c r="G26" s="1" t="s">
        <v>1875</v>
      </c>
      <c r="H26" s="1" t="s">
        <v>1876</v>
      </c>
      <c r="I26" s="1" t="s">
        <v>80</v>
      </c>
      <c r="J26" s="1" t="s">
        <v>1862</v>
      </c>
      <c r="K26" s="1" t="s">
        <v>1877</v>
      </c>
    </row>
    <row r="27" spans="1:11" ht="16.5">
      <c r="A27" s="3" t="s">
        <v>500</v>
      </c>
      <c r="B27" s="1" t="s">
        <v>1878</v>
      </c>
      <c r="C27" s="1" t="s">
        <v>1879</v>
      </c>
      <c r="D27" s="1" t="s">
        <v>1796</v>
      </c>
      <c r="E27" s="1" t="s">
        <v>1880</v>
      </c>
      <c r="F27" s="1" t="s">
        <v>1798</v>
      </c>
      <c r="G27" s="1"/>
      <c r="H27" s="1" t="s">
        <v>1881</v>
      </c>
      <c r="I27" s="1" t="s">
        <v>80</v>
      </c>
      <c r="J27" s="1" t="s">
        <v>1882</v>
      </c>
      <c r="K27" s="1" t="s">
        <v>1883</v>
      </c>
    </row>
    <row r="28" spans="1:11" ht="33.75">
      <c r="A28" s="3" t="s">
        <v>531</v>
      </c>
      <c r="B28" s="1" t="s">
        <v>1884</v>
      </c>
      <c r="C28" s="1" t="s">
        <v>1795</v>
      </c>
      <c r="D28" s="1" t="s">
        <v>1885</v>
      </c>
      <c r="E28" s="1" t="s">
        <v>1065</v>
      </c>
      <c r="F28" s="1" t="s">
        <v>1798</v>
      </c>
      <c r="G28" s="1" t="s">
        <v>1857</v>
      </c>
      <c r="H28" s="1" t="s">
        <v>1886</v>
      </c>
      <c r="I28" s="1" t="s">
        <v>80</v>
      </c>
      <c r="J28" s="1" t="s">
        <v>1887</v>
      </c>
      <c r="K28" s="1" t="s">
        <v>1888</v>
      </c>
    </row>
    <row r="29" spans="1:11" ht="33.75">
      <c r="A29" s="3" t="s">
        <v>531</v>
      </c>
      <c r="B29" s="1" t="s">
        <v>1889</v>
      </c>
      <c r="C29" s="1" t="s">
        <v>1821</v>
      </c>
      <c r="D29" s="1" t="s">
        <v>1810</v>
      </c>
      <c r="E29" s="1" t="s">
        <v>1065</v>
      </c>
      <c r="F29" s="1" t="s">
        <v>1798</v>
      </c>
      <c r="G29" s="1" t="s">
        <v>1857</v>
      </c>
      <c r="H29" s="1" t="s">
        <v>1890</v>
      </c>
      <c r="I29" s="1" t="s">
        <v>80</v>
      </c>
      <c r="J29" s="1" t="s">
        <v>1887</v>
      </c>
      <c r="K29" s="1" t="s">
        <v>1891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zoomScaleNormal="100" zoomScaleSheetLayoutView="100" workbookViewId="0">
      <selection activeCell="D13" sqref="D13"/>
    </sheetView>
  </sheetViews>
  <sheetFormatPr defaultRowHeight="15"/>
  <cols>
    <col min="1" max="2" width="16" customWidth="1"/>
    <col min="3" max="3" width="30" customWidth="1"/>
    <col min="4" max="4" width="28" customWidth="1"/>
    <col min="5" max="5" width="70" customWidth="1"/>
    <col min="6" max="6" width="34" customWidth="1"/>
    <col min="7" max="7" width="60" customWidth="1"/>
  </cols>
  <sheetData>
    <row r="1" spans="1:7">
      <c r="A1" s="4" t="s">
        <v>1892</v>
      </c>
      <c r="B1" s="4" t="s">
        <v>1783</v>
      </c>
      <c r="C1" s="4" t="s">
        <v>1893</v>
      </c>
      <c r="D1" s="4" t="s">
        <v>1894</v>
      </c>
      <c r="E1" s="4" t="s">
        <v>1895</v>
      </c>
      <c r="F1" s="4" t="s">
        <v>1896</v>
      </c>
      <c r="G1" s="4" t="s">
        <v>1897</v>
      </c>
    </row>
    <row r="2" spans="1:7">
      <c r="A2" s="1" t="s">
        <v>95</v>
      </c>
      <c r="B2" s="1" t="s">
        <v>69</v>
      </c>
      <c r="C2" s="1" t="s">
        <v>1898</v>
      </c>
      <c r="D2" s="1" t="s">
        <v>1899</v>
      </c>
      <c r="E2" s="1" t="s">
        <v>1900</v>
      </c>
      <c r="F2" s="1" t="s">
        <v>1901</v>
      </c>
      <c r="G2" s="1" t="s">
        <v>1902</v>
      </c>
    </row>
    <row r="3" spans="1:7">
      <c r="A3" s="1" t="s">
        <v>554</v>
      </c>
      <c r="B3" s="1" t="s">
        <v>515</v>
      </c>
      <c r="C3" s="1" t="s">
        <v>1903</v>
      </c>
      <c r="D3" s="1" t="s">
        <v>1904</v>
      </c>
      <c r="E3" s="1" t="s">
        <v>1905</v>
      </c>
      <c r="F3" s="1" t="s">
        <v>1906</v>
      </c>
      <c r="G3" s="1" t="s">
        <v>1907</v>
      </c>
    </row>
    <row r="4" spans="1:7">
      <c r="A4" s="1" t="s">
        <v>581</v>
      </c>
      <c r="B4" s="1" t="s">
        <v>515</v>
      </c>
      <c r="C4" s="1" t="s">
        <v>1908</v>
      </c>
      <c r="D4" s="1" t="s">
        <v>1904</v>
      </c>
      <c r="E4" s="1" t="s">
        <v>1909</v>
      </c>
      <c r="F4" s="1" t="s">
        <v>1910</v>
      </c>
      <c r="G4" s="1" t="s">
        <v>1911</v>
      </c>
    </row>
    <row r="5" spans="1:7">
      <c r="A5" s="1" t="s">
        <v>1049</v>
      </c>
      <c r="B5" s="1" t="s">
        <v>531</v>
      </c>
      <c r="C5" s="1" t="s">
        <v>1912</v>
      </c>
      <c r="D5" s="1" t="s">
        <v>1913</v>
      </c>
      <c r="E5" s="1" t="s">
        <v>1914</v>
      </c>
      <c r="F5" s="1" t="s">
        <v>1915</v>
      </c>
      <c r="G5" s="1" t="s">
        <v>1916</v>
      </c>
    </row>
    <row r="6" spans="1:7">
      <c r="A6" s="1" t="s">
        <v>1424</v>
      </c>
      <c r="B6" s="1" t="s">
        <v>500</v>
      </c>
      <c r="C6" s="1" t="s">
        <v>1917</v>
      </c>
      <c r="D6" s="1" t="s">
        <v>1918</v>
      </c>
      <c r="E6" s="1" t="s">
        <v>1919</v>
      </c>
      <c r="F6" s="1" t="s">
        <v>1920</v>
      </c>
      <c r="G6" s="1" t="s">
        <v>1921</v>
      </c>
    </row>
    <row r="7" spans="1:7">
      <c r="A7" s="1" t="s">
        <v>1436</v>
      </c>
      <c r="B7" s="1" t="s">
        <v>500</v>
      </c>
      <c r="C7" s="1" t="s">
        <v>1922</v>
      </c>
      <c r="D7" s="1" t="s">
        <v>1904</v>
      </c>
      <c r="E7" s="1" t="s">
        <v>1923</v>
      </c>
      <c r="F7" s="1" t="s">
        <v>1924</v>
      </c>
      <c r="G7" s="1" t="s">
        <v>1925</v>
      </c>
    </row>
    <row r="8" spans="1:7">
      <c r="A8" s="1" t="s">
        <v>1484</v>
      </c>
      <c r="B8" s="1" t="s">
        <v>500</v>
      </c>
      <c r="C8" s="1" t="s">
        <v>1926</v>
      </c>
      <c r="D8" s="1" t="s">
        <v>1904</v>
      </c>
      <c r="E8" s="1" t="s">
        <v>1927</v>
      </c>
      <c r="F8" s="1" t="s">
        <v>1924</v>
      </c>
      <c r="G8" s="1" t="s">
        <v>1928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zoomScaleNormal="100" zoomScaleSheetLayoutView="100" workbookViewId="0"/>
  </sheetViews>
  <sheetFormatPr defaultRowHeight="15"/>
  <cols>
    <col min="1" max="1" width="18" customWidth="1"/>
    <col min="2" max="2" width="22" customWidth="1"/>
    <col min="3" max="3" width="16" customWidth="1"/>
    <col min="4" max="4" width="28" customWidth="1"/>
    <col min="5" max="5" width="70" customWidth="1"/>
    <col min="6" max="6" width="42" customWidth="1"/>
    <col min="7" max="7" width="34" customWidth="1"/>
    <col min="8" max="8" width="55" customWidth="1"/>
  </cols>
  <sheetData>
    <row r="1" spans="1:8">
      <c r="A1" s="4" t="s">
        <v>1929</v>
      </c>
      <c r="B1" s="4" t="s">
        <v>1930</v>
      </c>
      <c r="C1" s="4" t="s">
        <v>1783</v>
      </c>
      <c r="D1" s="4" t="s">
        <v>1931</v>
      </c>
      <c r="E1" s="4" t="s">
        <v>1932</v>
      </c>
      <c r="F1" s="4" t="s">
        <v>1933</v>
      </c>
      <c r="G1" s="4" t="s">
        <v>1896</v>
      </c>
      <c r="H1" s="4" t="s">
        <v>1897</v>
      </c>
    </row>
    <row r="2" spans="1:8">
      <c r="A2" s="1" t="s">
        <v>1934</v>
      </c>
      <c r="B2" s="1" t="s">
        <v>70</v>
      </c>
      <c r="C2" s="1" t="s">
        <v>69</v>
      </c>
      <c r="D2" s="1" t="s">
        <v>1935</v>
      </c>
      <c r="E2" s="1" t="s">
        <v>1936</v>
      </c>
      <c r="F2" s="1" t="s">
        <v>1937</v>
      </c>
      <c r="G2" s="1" t="s">
        <v>1938</v>
      </c>
      <c r="H2" s="1" t="s">
        <v>1939</v>
      </c>
    </row>
    <row r="3" spans="1:8">
      <c r="A3" s="1" t="s">
        <v>1940</v>
      </c>
      <c r="B3" s="1" t="s">
        <v>1941</v>
      </c>
      <c r="C3" s="1" t="s">
        <v>515</v>
      </c>
      <c r="D3" s="1" t="s">
        <v>1942</v>
      </c>
      <c r="E3" s="1" t="s">
        <v>1943</v>
      </c>
      <c r="F3" s="1" t="s">
        <v>1944</v>
      </c>
      <c r="G3" s="1" t="s">
        <v>1945</v>
      </c>
      <c r="H3" s="1" t="s">
        <v>1946</v>
      </c>
    </row>
    <row r="4" spans="1:8">
      <c r="A4" s="1" t="s">
        <v>1947</v>
      </c>
      <c r="B4" s="1" t="s">
        <v>1948</v>
      </c>
      <c r="C4" s="1" t="s">
        <v>515</v>
      </c>
      <c r="D4" s="1" t="s">
        <v>1949</v>
      </c>
      <c r="E4" s="1" t="s">
        <v>1950</v>
      </c>
      <c r="F4" s="1" t="s">
        <v>1951</v>
      </c>
      <c r="G4" s="1" t="s">
        <v>1952</v>
      </c>
      <c r="H4" s="1" t="s">
        <v>1953</v>
      </c>
    </row>
    <row r="5" spans="1:8">
      <c r="A5" s="1" t="s">
        <v>1954</v>
      </c>
      <c r="B5" s="1" t="s">
        <v>1955</v>
      </c>
      <c r="C5" s="1" t="s">
        <v>531</v>
      </c>
      <c r="D5" s="1" t="s">
        <v>1956</v>
      </c>
      <c r="E5" s="1" t="s">
        <v>1957</v>
      </c>
      <c r="F5" s="1" t="s">
        <v>1958</v>
      </c>
      <c r="G5" s="1" t="s">
        <v>1959</v>
      </c>
      <c r="H5" s="1" t="s">
        <v>1960</v>
      </c>
    </row>
    <row r="6" spans="1:8">
      <c r="A6" s="1" t="s">
        <v>1961</v>
      </c>
      <c r="B6" s="1" t="s">
        <v>1962</v>
      </c>
      <c r="C6" s="1" t="s">
        <v>531</v>
      </c>
      <c r="D6" s="1" t="s">
        <v>1963</v>
      </c>
      <c r="E6" s="1" t="s">
        <v>1964</v>
      </c>
      <c r="F6" s="1" t="s">
        <v>1965</v>
      </c>
      <c r="G6" s="1" t="s">
        <v>1966</v>
      </c>
      <c r="H6" s="1" t="s">
        <v>1967</v>
      </c>
    </row>
    <row r="7" spans="1:8">
      <c r="A7" s="1" t="s">
        <v>1968</v>
      </c>
      <c r="B7" s="1" t="s">
        <v>1969</v>
      </c>
      <c r="C7" s="1" t="s">
        <v>500</v>
      </c>
      <c r="D7" s="1" t="s">
        <v>1970</v>
      </c>
      <c r="E7" s="1" t="s">
        <v>1971</v>
      </c>
      <c r="F7" s="1" t="s">
        <v>1972</v>
      </c>
      <c r="G7" s="1" t="s">
        <v>1973</v>
      </c>
      <c r="H7" s="1" t="s">
        <v>1974</v>
      </c>
    </row>
    <row r="8" spans="1:8">
      <c r="A8" s="1" t="s">
        <v>1975</v>
      </c>
      <c r="B8" s="1" t="s">
        <v>1424</v>
      </c>
      <c r="C8" s="1" t="s">
        <v>500</v>
      </c>
      <c r="D8" s="1" t="s">
        <v>1976</v>
      </c>
      <c r="E8" s="1" t="s">
        <v>1977</v>
      </c>
      <c r="F8" s="1" t="s">
        <v>1978</v>
      </c>
      <c r="G8" s="1" t="s">
        <v>1979</v>
      </c>
      <c r="H8" s="1" t="s">
        <v>1980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7"/>
  <sheetViews>
    <sheetView topLeftCell="A18" zoomScaleNormal="100" zoomScaleSheetLayoutView="100" workbookViewId="0">
      <selection activeCell="D3" sqref="D3"/>
    </sheetView>
  </sheetViews>
  <sheetFormatPr defaultRowHeight="15"/>
  <cols>
    <col min="1" max="1" width="12" customWidth="1"/>
    <col min="2" max="2" width="16" customWidth="1"/>
    <col min="3" max="3" width="38.75" customWidth="1"/>
    <col min="4" max="4" width="30.625" customWidth="1"/>
    <col min="5" max="5" width="41.125" customWidth="1"/>
    <col min="6" max="8" width="65" customWidth="1"/>
  </cols>
  <sheetData>
    <row r="1" spans="1:8" ht="33">
      <c r="A1" s="5" t="s">
        <v>36</v>
      </c>
      <c r="B1" s="5" t="s">
        <v>35</v>
      </c>
      <c r="C1" s="5" t="s">
        <v>37</v>
      </c>
      <c r="D1" s="5" t="s">
        <v>43</v>
      </c>
      <c r="E1" s="5" t="s">
        <v>1981</v>
      </c>
      <c r="F1" s="5" t="s">
        <v>1982</v>
      </c>
      <c r="G1" s="5" t="s">
        <v>1983</v>
      </c>
      <c r="H1" s="5" t="s">
        <v>1984</v>
      </c>
    </row>
    <row r="2" spans="1:8" ht="33.75">
      <c r="A2" s="3" t="s">
        <v>408</v>
      </c>
      <c r="B2" s="3" t="s">
        <v>69</v>
      </c>
      <c r="C2" s="3" t="s">
        <v>409</v>
      </c>
      <c r="D2" s="3" t="s">
        <v>163</v>
      </c>
      <c r="E2" s="3" t="s">
        <v>416</v>
      </c>
      <c r="F2" s="3" t="s">
        <v>412</v>
      </c>
      <c r="G2" s="3" t="s">
        <v>422</v>
      </c>
      <c r="H2" s="3" t="s">
        <v>1985</v>
      </c>
    </row>
    <row r="3" spans="1:8" ht="50.25">
      <c r="A3" s="3" t="s">
        <v>461</v>
      </c>
      <c r="B3" s="3" t="s">
        <v>69</v>
      </c>
      <c r="C3" s="3" t="s">
        <v>462</v>
      </c>
      <c r="D3" s="3" t="s">
        <v>466</v>
      </c>
      <c r="E3" s="3" t="s">
        <v>469</v>
      </c>
      <c r="F3" s="3" t="s">
        <v>463</v>
      </c>
      <c r="G3" s="3" t="s">
        <v>477</v>
      </c>
      <c r="H3" s="3" t="s">
        <v>1985</v>
      </c>
    </row>
    <row r="4" spans="1:8" ht="33.75">
      <c r="A4" s="3" t="s">
        <v>479</v>
      </c>
      <c r="B4" s="3" t="s">
        <v>69</v>
      </c>
      <c r="C4" s="3" t="s">
        <v>480</v>
      </c>
      <c r="D4" s="3" t="s">
        <v>466</v>
      </c>
      <c r="E4" s="3" t="s">
        <v>484</v>
      </c>
      <c r="F4" s="3" t="s">
        <v>481</v>
      </c>
      <c r="G4" s="3" t="s">
        <v>491</v>
      </c>
      <c r="H4" s="3" t="s">
        <v>1985</v>
      </c>
    </row>
    <row r="5" spans="1:8" ht="33.75">
      <c r="A5" s="3" t="s">
        <v>493</v>
      </c>
      <c r="B5" s="3" t="s">
        <v>69</v>
      </c>
      <c r="C5" s="3" t="s">
        <v>494</v>
      </c>
      <c r="D5" s="3" t="s">
        <v>497</v>
      </c>
      <c r="E5" s="3" t="s">
        <v>500</v>
      </c>
      <c r="F5" s="3" t="s">
        <v>495</v>
      </c>
      <c r="G5" s="3" t="s">
        <v>507</v>
      </c>
      <c r="H5" s="3" t="s">
        <v>1985</v>
      </c>
    </row>
    <row r="6" spans="1:8" ht="33.75">
      <c r="A6" s="3" t="s">
        <v>508</v>
      </c>
      <c r="B6" s="3" t="s">
        <v>69</v>
      </c>
      <c r="C6" s="3" t="s">
        <v>509</v>
      </c>
      <c r="D6" s="3" t="s">
        <v>497</v>
      </c>
      <c r="E6" s="3" t="s">
        <v>515</v>
      </c>
      <c r="F6" s="3" t="s">
        <v>510</v>
      </c>
      <c r="G6" s="3" t="s">
        <v>522</v>
      </c>
      <c r="H6" s="3" t="s">
        <v>1985</v>
      </c>
    </row>
    <row r="7" spans="1:8" ht="33.75">
      <c r="A7" s="3" t="s">
        <v>524</v>
      </c>
      <c r="B7" s="3" t="s">
        <v>69</v>
      </c>
      <c r="C7" s="3" t="s">
        <v>525</v>
      </c>
      <c r="D7" s="3" t="s">
        <v>497</v>
      </c>
      <c r="E7" s="3" t="s">
        <v>531</v>
      </c>
      <c r="F7" s="3" t="s">
        <v>526</v>
      </c>
      <c r="G7" s="3" t="s">
        <v>538</v>
      </c>
      <c r="H7" s="3" t="s">
        <v>1985</v>
      </c>
    </row>
    <row r="8" spans="1:8" ht="33.75">
      <c r="A8" s="3" t="s">
        <v>862</v>
      </c>
      <c r="B8" s="3" t="s">
        <v>515</v>
      </c>
      <c r="C8" s="3" t="s">
        <v>863</v>
      </c>
      <c r="D8" s="3" t="s">
        <v>397</v>
      </c>
      <c r="E8" s="3" t="s">
        <v>868</v>
      </c>
      <c r="F8" s="3" t="s">
        <v>864</v>
      </c>
      <c r="G8" s="3" t="s">
        <v>875</v>
      </c>
      <c r="H8" s="3" t="s">
        <v>1985</v>
      </c>
    </row>
    <row r="9" spans="1:8" ht="33.75">
      <c r="A9" s="3" t="s">
        <v>972</v>
      </c>
      <c r="B9" s="3" t="s">
        <v>515</v>
      </c>
      <c r="C9" s="3" t="s">
        <v>973</v>
      </c>
      <c r="D9" s="3" t="s">
        <v>397</v>
      </c>
      <c r="E9" s="3" t="s">
        <v>978</v>
      </c>
      <c r="F9" s="3" t="s">
        <v>974</v>
      </c>
      <c r="G9" s="3" t="s">
        <v>984</v>
      </c>
      <c r="H9" s="3" t="s">
        <v>1985</v>
      </c>
    </row>
    <row r="10" spans="1:8" ht="33.75">
      <c r="A10" s="3" t="s">
        <v>985</v>
      </c>
      <c r="B10" s="3" t="s">
        <v>515</v>
      </c>
      <c r="C10" s="3" t="s">
        <v>986</v>
      </c>
      <c r="D10" s="3" t="s">
        <v>163</v>
      </c>
      <c r="E10" s="3" t="s">
        <v>69</v>
      </c>
      <c r="F10" s="3" t="s">
        <v>987</v>
      </c>
      <c r="G10" s="3" t="s">
        <v>995</v>
      </c>
      <c r="H10" s="3" t="s">
        <v>1985</v>
      </c>
    </row>
    <row r="11" spans="1:8" ht="33.75">
      <c r="A11" s="3" t="s">
        <v>997</v>
      </c>
      <c r="B11" s="3" t="s">
        <v>515</v>
      </c>
      <c r="C11" s="3" t="s">
        <v>71</v>
      </c>
      <c r="D11" s="3" t="s">
        <v>497</v>
      </c>
      <c r="E11" s="3" t="s">
        <v>69</v>
      </c>
      <c r="F11" s="3" t="s">
        <v>998</v>
      </c>
      <c r="G11" s="3" t="s">
        <v>1006</v>
      </c>
      <c r="H11" s="3" t="s">
        <v>1985</v>
      </c>
    </row>
    <row r="12" spans="1:8" ht="33.75">
      <c r="A12" s="3" t="s">
        <v>1007</v>
      </c>
      <c r="B12" s="3" t="s">
        <v>515</v>
      </c>
      <c r="C12" s="3" t="s">
        <v>1008</v>
      </c>
      <c r="D12" s="3" t="s">
        <v>102</v>
      </c>
      <c r="E12" s="3" t="s">
        <v>69</v>
      </c>
      <c r="F12" s="3" t="s">
        <v>1009</v>
      </c>
      <c r="G12" s="3" t="s">
        <v>1016</v>
      </c>
      <c r="H12" s="3" t="s">
        <v>1985</v>
      </c>
    </row>
    <row r="13" spans="1:8" ht="33.75">
      <c r="A13" s="3" t="s">
        <v>1017</v>
      </c>
      <c r="B13" s="3" t="s">
        <v>515</v>
      </c>
      <c r="C13" s="3" t="s">
        <v>494</v>
      </c>
      <c r="D13" s="3" t="s">
        <v>497</v>
      </c>
      <c r="E13" s="3" t="s">
        <v>500</v>
      </c>
      <c r="F13" s="3" t="s">
        <v>1018</v>
      </c>
      <c r="G13" s="3" t="s">
        <v>1025</v>
      </c>
      <c r="H13" s="3" t="s">
        <v>1985</v>
      </c>
    </row>
    <row r="14" spans="1:8" ht="33.75">
      <c r="A14" s="3" t="s">
        <v>1027</v>
      </c>
      <c r="B14" s="3" t="s">
        <v>515</v>
      </c>
      <c r="C14" s="3" t="s">
        <v>525</v>
      </c>
      <c r="D14" s="3" t="s">
        <v>497</v>
      </c>
      <c r="E14" s="3" t="s">
        <v>531</v>
      </c>
      <c r="F14" s="3" t="s">
        <v>1028</v>
      </c>
      <c r="G14" s="3" t="s">
        <v>1034</v>
      </c>
      <c r="H14" s="3" t="s">
        <v>1985</v>
      </c>
    </row>
    <row r="15" spans="1:8" ht="33.75">
      <c r="A15" s="3" t="s">
        <v>1330</v>
      </c>
      <c r="B15" s="3" t="s">
        <v>531</v>
      </c>
      <c r="C15" s="3" t="s">
        <v>1331</v>
      </c>
      <c r="D15" s="3" t="s">
        <v>733</v>
      </c>
      <c r="E15" s="3" t="s">
        <v>1335</v>
      </c>
      <c r="F15" s="3" t="s">
        <v>1332</v>
      </c>
      <c r="G15" s="3" t="s">
        <v>1342</v>
      </c>
      <c r="H15" s="3" t="s">
        <v>1985</v>
      </c>
    </row>
    <row r="16" spans="1:8" ht="33.75">
      <c r="A16" s="3" t="s">
        <v>1343</v>
      </c>
      <c r="B16" s="3" t="s">
        <v>531</v>
      </c>
      <c r="C16" s="3" t="s">
        <v>1344</v>
      </c>
      <c r="D16" s="3" t="s">
        <v>163</v>
      </c>
      <c r="E16" s="3" t="s">
        <v>1348</v>
      </c>
      <c r="F16" s="3" t="s">
        <v>1345</v>
      </c>
      <c r="G16" s="3" t="s">
        <v>1355</v>
      </c>
      <c r="H16" s="3" t="s">
        <v>1985</v>
      </c>
    </row>
    <row r="17" spans="1:8" ht="33.75">
      <c r="A17" s="3" t="s">
        <v>1356</v>
      </c>
      <c r="B17" s="3" t="s">
        <v>531</v>
      </c>
      <c r="C17" s="3" t="s">
        <v>1357</v>
      </c>
      <c r="D17" s="3" t="s">
        <v>733</v>
      </c>
      <c r="E17" s="3" t="s">
        <v>1335</v>
      </c>
      <c r="F17" s="3" t="s">
        <v>1358</v>
      </c>
      <c r="G17" s="3" t="s">
        <v>1366</v>
      </c>
      <c r="H17" s="3" t="s">
        <v>1985</v>
      </c>
    </row>
    <row r="18" spans="1:8" ht="33.75">
      <c r="A18" s="3" t="s">
        <v>1367</v>
      </c>
      <c r="B18" s="3" t="s">
        <v>531</v>
      </c>
      <c r="C18" s="3" t="s">
        <v>1368</v>
      </c>
      <c r="D18" s="3" t="s">
        <v>209</v>
      </c>
      <c r="E18" s="3" t="s">
        <v>1373</v>
      </c>
      <c r="F18" s="3" t="s">
        <v>1369</v>
      </c>
      <c r="G18" s="3" t="s">
        <v>1379</v>
      </c>
      <c r="H18" s="3" t="s">
        <v>1985</v>
      </c>
    </row>
    <row r="19" spans="1:8" ht="33.75">
      <c r="A19" s="3" t="s">
        <v>1380</v>
      </c>
      <c r="B19" s="3" t="s">
        <v>531</v>
      </c>
      <c r="C19" s="3" t="s">
        <v>1381</v>
      </c>
      <c r="D19" s="3" t="s">
        <v>497</v>
      </c>
      <c r="E19" s="3" t="s">
        <v>500</v>
      </c>
      <c r="F19" s="3" t="s">
        <v>1382</v>
      </c>
      <c r="G19" s="3" t="s">
        <v>1392</v>
      </c>
      <c r="H19" s="3" t="s">
        <v>1985</v>
      </c>
    </row>
    <row r="20" spans="1:8" ht="33.75">
      <c r="A20" s="3" t="s">
        <v>1393</v>
      </c>
      <c r="B20" s="3" t="s">
        <v>531</v>
      </c>
      <c r="C20" s="3" t="s">
        <v>1394</v>
      </c>
      <c r="D20" s="3" t="s">
        <v>497</v>
      </c>
      <c r="E20" s="3" t="s">
        <v>1398</v>
      </c>
      <c r="F20" s="3" t="s">
        <v>1395</v>
      </c>
      <c r="G20" s="3" t="s">
        <v>1405</v>
      </c>
      <c r="H20" s="3" t="s">
        <v>1985</v>
      </c>
    </row>
    <row r="21" spans="1:8" ht="33.75">
      <c r="A21" s="3" t="s">
        <v>1689</v>
      </c>
      <c r="B21" s="3" t="s">
        <v>500</v>
      </c>
      <c r="C21" s="3" t="s">
        <v>525</v>
      </c>
      <c r="D21" s="3" t="s">
        <v>497</v>
      </c>
      <c r="E21" s="3" t="s">
        <v>531</v>
      </c>
      <c r="F21" s="3" t="s">
        <v>1690</v>
      </c>
      <c r="G21" s="3" t="s">
        <v>1698</v>
      </c>
      <c r="H21" s="3" t="s">
        <v>1985</v>
      </c>
    </row>
    <row r="22" spans="1:8" ht="33.75">
      <c r="A22" s="3" t="s">
        <v>1699</v>
      </c>
      <c r="B22" s="3" t="s">
        <v>500</v>
      </c>
      <c r="C22" s="3" t="s">
        <v>71</v>
      </c>
      <c r="D22" s="3" t="s">
        <v>497</v>
      </c>
      <c r="E22" s="3" t="s">
        <v>69</v>
      </c>
      <c r="F22" s="3" t="s">
        <v>1700</v>
      </c>
      <c r="G22" s="3" t="s">
        <v>1708</v>
      </c>
      <c r="H22" s="3" t="s">
        <v>1985</v>
      </c>
    </row>
    <row r="23" spans="1:8" ht="33.75">
      <c r="A23" s="3" t="s">
        <v>1709</v>
      </c>
      <c r="B23" s="3" t="s">
        <v>500</v>
      </c>
      <c r="C23" s="3" t="s">
        <v>509</v>
      </c>
      <c r="D23" s="3" t="s">
        <v>497</v>
      </c>
      <c r="E23" s="3" t="s">
        <v>515</v>
      </c>
      <c r="F23" s="3" t="s">
        <v>1710</v>
      </c>
      <c r="G23" s="3" t="s">
        <v>1718</v>
      </c>
      <c r="H23" s="3" t="s">
        <v>1985</v>
      </c>
    </row>
    <row r="24" spans="1:8" ht="33.75">
      <c r="A24" s="3" t="s">
        <v>1719</v>
      </c>
      <c r="B24" s="3" t="s">
        <v>500</v>
      </c>
      <c r="C24" s="3" t="s">
        <v>118</v>
      </c>
      <c r="D24" s="3" t="s">
        <v>102</v>
      </c>
      <c r="E24" s="3" t="s">
        <v>69</v>
      </c>
      <c r="F24" s="3" t="s">
        <v>1720</v>
      </c>
      <c r="G24" s="3" t="s">
        <v>1727</v>
      </c>
      <c r="H24" s="3" t="s">
        <v>1985</v>
      </c>
    </row>
    <row r="25" spans="1:8" ht="33.75">
      <c r="A25" s="3" t="s">
        <v>1728</v>
      </c>
      <c r="B25" s="3" t="s">
        <v>500</v>
      </c>
      <c r="C25" s="3" t="s">
        <v>1729</v>
      </c>
      <c r="D25" s="3" t="s">
        <v>102</v>
      </c>
      <c r="E25" s="3" t="s">
        <v>69</v>
      </c>
      <c r="F25" s="3" t="s">
        <v>1730</v>
      </c>
      <c r="G25" s="3" t="s">
        <v>1737</v>
      </c>
      <c r="H25" s="3" t="s">
        <v>1985</v>
      </c>
    </row>
    <row r="26" spans="1:8" ht="16.5">
      <c r="A26" s="3" t="s">
        <v>438</v>
      </c>
      <c r="B26" s="3" t="s">
        <v>69</v>
      </c>
      <c r="C26" s="3" t="s">
        <v>439</v>
      </c>
      <c r="D26" s="3" t="s">
        <v>209</v>
      </c>
      <c r="E26" s="3" t="s">
        <v>1986</v>
      </c>
      <c r="F26" s="3" t="s">
        <v>442</v>
      </c>
      <c r="G26" s="3" t="s">
        <v>454</v>
      </c>
      <c r="H26" s="3" t="s">
        <v>1987</v>
      </c>
    </row>
    <row r="27" spans="1:8" ht="33.75">
      <c r="A27" s="3" t="s">
        <v>958</v>
      </c>
      <c r="B27" s="3" t="s">
        <v>515</v>
      </c>
      <c r="C27" s="3" t="s">
        <v>959</v>
      </c>
      <c r="D27" s="3" t="s">
        <v>209</v>
      </c>
      <c r="E27" s="3" t="s">
        <v>1986</v>
      </c>
      <c r="F27" s="3" t="s">
        <v>960</v>
      </c>
      <c r="G27" s="3" t="s">
        <v>970</v>
      </c>
      <c r="H27" s="3" t="s">
        <v>1987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topLeftCell="A4" zoomScaleNormal="100" zoomScaleSheetLayoutView="100" workbookViewId="0"/>
  </sheetViews>
  <sheetFormatPr defaultRowHeight="15"/>
  <cols>
    <col min="1" max="1" width="28" customWidth="1"/>
    <col min="2" max="3" width="18" customWidth="1"/>
    <col min="4" max="4" width="24" customWidth="1"/>
    <col min="5" max="5" width="18" customWidth="1"/>
    <col min="6" max="7" width="16" customWidth="1"/>
  </cols>
  <sheetData>
    <row r="1" spans="1:7">
      <c r="A1" s="8" t="s">
        <v>1988</v>
      </c>
      <c r="B1" s="8"/>
      <c r="C1" s="8"/>
      <c r="D1" s="8"/>
      <c r="E1" s="8"/>
      <c r="F1" s="8"/>
      <c r="G1" s="8"/>
    </row>
    <row r="3" spans="1:7">
      <c r="A3" s="4" t="s">
        <v>35</v>
      </c>
      <c r="B3" s="4" t="s">
        <v>1989</v>
      </c>
      <c r="C3" s="4" t="s">
        <v>1990</v>
      </c>
      <c r="D3" s="4" t="s">
        <v>1991</v>
      </c>
      <c r="E3" s="4" t="s">
        <v>1992</v>
      </c>
    </row>
    <row r="4" spans="1:7">
      <c r="A4" t="s">
        <v>69</v>
      </c>
      <c r="B4">
        <v>30</v>
      </c>
      <c r="C4">
        <f>COUNTIF('Signal Catalog'!$A$2:$A$134,A4)</f>
        <v>30</v>
      </c>
      <c r="D4">
        <f>COUNTIFS('Phenotype Overlays'!$I$2:$I$303,A4,'Phenotype Overlays'!$C$2:$C$303,A4)</f>
        <v>30</v>
      </c>
      <c r="E4" t="str">
        <f>IF(AND(B4=C4,B4=D4),"PASS","FAIL")</f>
        <v>PASS</v>
      </c>
    </row>
    <row r="5" spans="1:7">
      <c r="A5" t="s">
        <v>515</v>
      </c>
      <c r="B5">
        <v>41</v>
      </c>
      <c r="C5">
        <f>COUNTIF('Signal Catalog'!$A$2:$A$134,A5)</f>
        <v>41</v>
      </c>
      <c r="D5">
        <f>COUNTIFS('Phenotype Overlays'!$I$2:$I$303,A5,'Phenotype Overlays'!$C$2:$C$303,A5)</f>
        <v>41</v>
      </c>
      <c r="E5" t="str">
        <f>IF(AND(B5=C5,B5=D5),"PASS","FAIL")</f>
        <v>PASS</v>
      </c>
    </row>
    <row r="6" spans="1:7">
      <c r="A6" t="s">
        <v>531</v>
      </c>
      <c r="B6">
        <v>30</v>
      </c>
      <c r="C6">
        <f>COUNTIF('Signal Catalog'!$A$2:$A$134,A6)</f>
        <v>30</v>
      </c>
      <c r="D6">
        <f>COUNTIFS('Phenotype Overlays'!$I$2:$I$303,A6,'Phenotype Overlays'!$C$2:$C$303,A6)</f>
        <v>30</v>
      </c>
      <c r="E6" t="str">
        <f>IF(AND(B6=C6,B6=D6),"PASS","FAIL")</f>
        <v>PASS</v>
      </c>
    </row>
    <row r="7" spans="1:7">
      <c r="A7" t="s">
        <v>500</v>
      </c>
      <c r="B7">
        <v>32</v>
      </c>
      <c r="C7">
        <f>COUNTIF('Signal Catalog'!$A$2:$A$134,A7)</f>
        <v>32</v>
      </c>
      <c r="D7">
        <f>COUNTIFS('Phenotype Overlays'!$I$2:$I$303,A7,'Phenotype Overlays'!$C$2:$C$303,A7)</f>
        <v>32</v>
      </c>
      <c r="E7" t="str">
        <f>IF(AND(B7=C7,B7=D7),"PASS","FAIL")</f>
        <v>PASS</v>
      </c>
    </row>
    <row r="9" spans="1:7">
      <c r="A9" s="4" t="s">
        <v>1993</v>
      </c>
      <c r="B9" s="4" t="s">
        <v>1994</v>
      </c>
      <c r="D9" s="4" t="s">
        <v>38</v>
      </c>
      <c r="E9" s="4" t="s">
        <v>1995</v>
      </c>
      <c r="F9" s="4"/>
      <c r="G9" s="4"/>
    </row>
    <row r="10" spans="1:7">
      <c r="A10" t="s">
        <v>1996</v>
      </c>
      <c r="B10">
        <v>133</v>
      </c>
      <c r="D10" t="s">
        <v>119</v>
      </c>
      <c r="E10">
        <f>COUNTIF('Signal Catalog'!$D$2:$D$134,D10)</f>
        <v>99</v>
      </c>
    </row>
    <row r="11" spans="1:7">
      <c r="A11" t="s">
        <v>1997</v>
      </c>
      <c r="B11">
        <f>COUNTA('Signal Catalog'!$B$2:$B$134)</f>
        <v>133</v>
      </c>
      <c r="D11" t="s">
        <v>97</v>
      </c>
      <c r="E11">
        <f>COUNTIF('Signal Catalog'!$D$2:$D$134,D11)</f>
        <v>1</v>
      </c>
    </row>
    <row r="12" spans="1:7">
      <c r="A12" t="s">
        <v>1998</v>
      </c>
      <c r="B12">
        <f>COUNTIF('Signal Catalog'!$AH$2:$AH$134,"COVERED")</f>
        <v>133</v>
      </c>
      <c r="D12" t="s">
        <v>556</v>
      </c>
      <c r="E12">
        <f>COUNTIF('Signal Catalog'!$D$2:$D$134,D12)</f>
        <v>6</v>
      </c>
    </row>
    <row r="13" spans="1:7">
      <c r="A13" t="s">
        <v>1999</v>
      </c>
      <c r="B13">
        <f>COUNTIF('Signal Catalog'!$AH$2:$AH$134,"MISSING")</f>
        <v>0</v>
      </c>
      <c r="D13" t="s">
        <v>72</v>
      </c>
      <c r="E13">
        <f>COUNTIF('Signal Catalog'!$D$2:$D$134,D13)</f>
        <v>1</v>
      </c>
    </row>
    <row r="14" spans="1:7">
      <c r="D14" t="s">
        <v>410</v>
      </c>
      <c r="E14">
        <f>COUNTIF('Signal Catalog'!$D$2:$D$134,D14)</f>
        <v>24</v>
      </c>
    </row>
    <row r="15" spans="1:7">
      <c r="D15" t="s">
        <v>440</v>
      </c>
      <c r="E15">
        <f>COUNTIF('Signal Catalog'!$D$2:$D$134,D15)</f>
        <v>2</v>
      </c>
    </row>
  </sheetData>
  <mergeCells count="1">
    <mergeCell ref="A1:G1"/>
  </mergeCells>
  <conditionalFormatting sqref="E4:E7">
    <cfRule type="expression" dxfId="1" priority="1">
      <formula>$E4="PASS"</formula>
    </cfRule>
    <cfRule type="expression" dxfId="0" priority="2">
      <formula>$E4="FAIL"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Hasini Nawoda</cp:lastModifiedBy>
  <cp:revision/>
  <dcterms:created xsi:type="dcterms:W3CDTF">2026-09-02T07:16:05Z</dcterms:created>
  <dcterms:modified xsi:type="dcterms:W3CDTF">2026-09-08T03:44:33Z</dcterms:modified>
  <cp:category/>
  <cp:contentStatus/>
</cp:coreProperties>
</file>